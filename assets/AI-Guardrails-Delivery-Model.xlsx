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Assumptions" sheetId="3" state="visible" r:id="rId3"/>
    <sheet xmlns:r="http://schemas.openxmlformats.org/officeDocument/2006/relationships" name="Work items" sheetId="4" state="visible" r:id="rId4"/>
    <sheet xmlns:r="http://schemas.openxmlformats.org/officeDocument/2006/relationships" name="Effort by role" sheetId="5" state="visible" r:id="rId5"/>
    <sheet xmlns:r="http://schemas.openxmlformats.org/officeDocument/2006/relationships" name="Effort by milestone" sheetId="6" state="visible" r:id="rId6"/>
    <sheet xmlns:r="http://schemas.openxmlformats.org/officeDocument/2006/relationships" name="Effort by workstream" sheetId="7" state="visible" r:id="rId7"/>
    <sheet xmlns:r="http://schemas.openxmlformats.org/officeDocument/2006/relationships" name="Sensitivity" sheetId="8" state="visible" r:id="rId8"/>
    <sheet xmlns:r="http://schemas.openxmlformats.org/officeDocument/2006/relationships" name="Pivot data" sheetId="9" state="visible" r:id="rId9"/>
    <sheet xmlns:r="http://schemas.openxmlformats.org/officeDocument/2006/relationships" name="Roadmap" sheetId="10" state="visible" r:id="rId10"/>
    <sheet xmlns:r="http://schemas.openxmlformats.org/officeDocument/2006/relationships" name="Dependencies" sheetId="11" state="visible" r:id="rId11"/>
    <sheet xmlns:r="http://schemas.openxmlformats.org/officeDocument/2006/relationships" name="Release gates" sheetId="12" state="visible" r:id="rId12"/>
  </sheets>
  <definedNames>
    <definedName name="_xlnm._FilterDatabase" localSheetId="3" hidden="1">'Work items'!$A$5:$Q$65</definedName>
    <definedName name="_xlnm._FilterDatabase" localSheetId="6" hidden="1">'Effort by workstream'!$A$4:$I$19</definedName>
    <definedName name="_xlnm._FilterDatabase" localSheetId="9" hidden="1">'Roadmap'!$A$4:$F$9</definedName>
    <definedName name="_xlnm._FilterDatabase" localSheetId="10" hidden="1">'Dependencies'!$A$4:$F$11</definedName>
    <definedName name="_xlnm._FilterDatabase" localSheetId="11" hidden="1">'Release gates'!$A$4:$E$20</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1D242C"/>
      <sz val="15"/>
    </font>
    <font>
      <name val="Calibri"/>
      <color rgb="006B7785"/>
      <sz val="10.5"/>
    </font>
    <font>
      <name val="Calibri"/>
      <b val="1"/>
      <color rgb="002B4A69"/>
      <sz val="11"/>
    </font>
    <font>
      <name val="Calibri"/>
      <b val="1"/>
      <color rgb="001D242C"/>
      <sz val="10.5"/>
    </font>
    <font>
      <name val="Calibri"/>
      <color rgb="006B7785"/>
      <sz val="10"/>
    </font>
    <font>
      <name val="Calibri"/>
      <b val="1"/>
      <color rgb="00FFFFFF"/>
      <sz val="10.5"/>
    </font>
    <font>
      <name val="Calibri"/>
      <b val="1"/>
      <color rgb="006B7785"/>
      <sz val="9"/>
    </font>
    <font>
      <name val="Calibri"/>
      <b val="1"/>
      <color rgb="001D242C"/>
      <sz val="20"/>
    </font>
    <font>
      <name val="Calibri"/>
      <color rgb="006B7785"/>
      <sz val="9"/>
    </font>
    <font>
      <name val="Calibri"/>
      <color rgb="001D242C"/>
      <sz val="10.5"/>
    </font>
    <font>
      <name val="Calibri"/>
      <b val="1"/>
      <color rgb="00B4552B"/>
      <sz val="10.5"/>
    </font>
  </fonts>
  <fills count="6">
    <fill>
      <patternFill/>
    </fill>
    <fill>
      <patternFill patternType="gray125"/>
    </fill>
    <fill>
      <patternFill patternType="solid">
        <fgColor rgb="00FFF4D6"/>
      </patternFill>
    </fill>
    <fill>
      <patternFill patternType="solid">
        <fgColor rgb="00EEF4FB"/>
      </patternFill>
    </fill>
    <fill>
      <patternFill patternType="solid">
        <fgColor rgb="001D242C"/>
      </patternFill>
    </fill>
    <fill>
      <patternFill patternType="solid">
        <fgColor rgb="00F4F6F8"/>
      </patternFill>
    </fill>
  </fills>
  <borders count="3">
    <border>
      <left/>
      <right/>
      <top/>
      <bottom/>
      <diagonal/>
    </border>
    <border>
      <left style="thin">
        <color rgb="00D6DBE0"/>
      </left>
      <right style="thin">
        <color rgb="00D6DBE0"/>
      </right>
      <top style="thin">
        <color rgb="00D6DBE0"/>
      </top>
      <bottom style="thin">
        <color rgb="00D6DBE0"/>
      </bottom>
    </border>
    <border>
      <left style="thin">
        <color rgb="00E0B341"/>
      </left>
      <right style="thin">
        <color rgb="00E0B341"/>
      </right>
      <top style="thin">
        <color rgb="00E0B341"/>
      </top>
      <bottom style="thin">
        <color rgb="00E0B341"/>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1" applyAlignment="1" pivotButton="0" quotePrefix="0" xfId="0">
      <alignment vertical="top" wrapText="1"/>
    </xf>
    <xf numFmtId="0" fontId="5" fillId="0" borderId="0" pivotButton="0" quotePrefix="0" xfId="0"/>
    <xf numFmtId="0" fontId="4" fillId="2" borderId="2" applyAlignment="1" pivotButton="0" quotePrefix="0" xfId="0">
      <alignment horizontal="center" vertical="center"/>
    </xf>
    <xf numFmtId="0" fontId="5" fillId="0" borderId="0" applyAlignment="1" pivotButton="0" quotePrefix="0" xfId="0">
      <alignment vertical="top" wrapText="1"/>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6" fillId="4" borderId="1" applyAlignment="1" pivotButton="0" quotePrefix="0" xfId="0">
      <alignment vertical="center" wrapText="1"/>
    </xf>
    <xf numFmtId="0" fontId="7" fillId="5" borderId="0" applyAlignment="1" pivotButton="0" quotePrefix="0" xfId="0">
      <alignment horizontal="left" vertical="center"/>
    </xf>
    <xf numFmtId="164" fontId="8" fillId="5" borderId="0" applyAlignment="1" pivotButton="0" quotePrefix="0" xfId="0">
      <alignment horizontal="left" vertical="center"/>
    </xf>
    <xf numFmtId="0" fontId="9" fillId="5" borderId="0" applyAlignment="1" pivotButton="0" quotePrefix="0" xfId="0">
      <alignment horizontal="left" vertical="center" wrapText="1"/>
    </xf>
    <xf numFmtId="164" fontId="10" fillId="3" borderId="1" applyAlignment="1" pivotButton="0" quotePrefix="0" xfId="0">
      <alignment horizontal="center" vertical="center"/>
    </xf>
    <xf numFmtId="0" fontId="10" fillId="3" borderId="1" applyAlignment="1" pivotButton="0" quotePrefix="0" xfId="0">
      <alignment horizontal="center" vertical="center"/>
    </xf>
    <xf numFmtId="0" fontId="10" fillId="0" borderId="1" applyAlignment="1" pivotButton="0" quotePrefix="0" xfId="0">
      <alignment vertical="top" wrapText="1"/>
    </xf>
    <xf numFmtId="0" fontId="11" fillId="0" borderId="0" applyAlignment="1" pivotButton="0" quotePrefix="0" xfId="0">
      <alignment vertical="top" wrapText="1"/>
    </xf>
    <xf numFmtId="164" fontId="10" fillId="2" borderId="2" applyAlignment="1" pivotButton="0" quotePrefix="0" xfId="0">
      <alignment horizontal="center" vertical="center"/>
    </xf>
    <xf numFmtId="4" fontId="10" fillId="2" borderId="2" applyAlignment="1" pivotButton="0" quotePrefix="0" xfId="0">
      <alignment horizontal="center" vertical="center"/>
    </xf>
    <xf numFmtId="9" fontId="10" fillId="2" borderId="2" applyAlignment="1" pivotButton="0" quotePrefix="0" xfId="0">
      <alignment horizontal="center" vertical="center"/>
    </xf>
    <xf numFmtId="0" fontId="10" fillId="0" borderId="1" applyAlignment="1" pivotButton="0" quotePrefix="0" xfId="0">
      <alignment horizontal="center" vertical="center"/>
    </xf>
    <xf numFmtId="0" fontId="10" fillId="2" borderId="2" applyAlignment="1" pivotButton="0" quotePrefix="0" xfId="0">
      <alignment horizontal="center" vertical="center"/>
    </xf>
    <xf numFmtId="9" fontId="10" fillId="3" borderId="1" applyAlignment="1" pivotButton="0" quotePrefix="0" xfId="0">
      <alignment horizontal="center" vertical="center"/>
    </xf>
    <xf numFmtId="164" fontId="4" fillId="3" borderId="1" applyAlignment="1" pivotButton="0" quotePrefix="0" xfId="0">
      <alignment horizontal="center" vertical="center"/>
    </xf>
    <xf numFmtId="0" fontId="4" fillId="5" borderId="1" applyAlignment="1" pivotButton="0" quotePrefix="0" xfId="0">
      <alignment vertical="top" wrapText="1"/>
    </xf>
    <xf numFmtId="0" fontId="10" fillId="5" borderId="1" applyAlignment="1" pivotButton="0" quotePrefix="0" xfId="0">
      <alignment horizontal="center" vertical="center"/>
    </xf>
    <xf numFmtId="0" fontId="10" fillId="5" borderId="1" applyAlignment="1" pivotButton="0" quotePrefix="0" xfId="0">
      <alignment vertical="top" wrapText="1"/>
    </xf>
    <xf numFmtId="4" fontId="10" fillId="3" borderId="1" applyAlignment="1" pivotButton="0" quotePrefix="0" xfId="0">
      <alignment horizontal="center" vertical="center"/>
    </xf>
    <xf numFmtId="0" fontId="4" fillId="5" borderId="1" applyAlignment="1" pivotButton="0" quotePrefix="0" xfId="0">
      <alignment horizontal="center" vertical="center"/>
    </xf>
    <xf numFmtId="4" fontId="4" fillId="3" borderId="1" applyAlignment="1" pivotButton="0" quotePrefix="0" xfId="0">
      <alignment horizontal="center" vertical="center"/>
    </xf>
  </cellXfs>
  <cellStyles count="1">
    <cellStyle name="Normal" xfId="0" builtinId="0" hidden="0"/>
  </cellStyles>
  <dxfs count="1">
    <dxf>
      <font>
        <b val="1"/>
        <color rgb="00B4552B"/>
      </font>
      <fill>
        <patternFill patternType="solid">
          <fgColor rgb="00F7DD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Effort by milestone — shaded past the Phase 1–2 gate</a:t>
            </a:r>
          </a:p>
        </rich>
      </tx>
    </title>
    <plotArea>
      <barChart>
        <barDir val="col"/>
        <grouping val="clustered"/>
        <ser>
          <idx val="0"/>
          <order val="0"/>
          <tx>
            <strRef>
              <f>'Dashboard'!B10</f>
            </strRef>
          </tx>
          <spPr>
            <a:solidFill xmlns:a="http://schemas.openxmlformats.org/drawingml/2006/main">
              <a:srgbClr val="2A78D6"/>
            </a:solidFill>
            <a:ln xmlns:a="http://schemas.openxmlformats.org/drawingml/2006/main" w="19050">
              <a:solidFill>
                <a:srgbClr val="FFFFFF"/>
              </a:solidFill>
              <a:prstDash val="solid"/>
            </a:ln>
          </spPr>
          <dPt>
            <idx val="0"/>
            <spPr>
              <a:solidFill xmlns:a="http://schemas.openxmlformats.org/drawingml/2006/main">
                <a:srgbClr val="2A78D6"/>
              </a:solidFill>
              <a:ln xmlns:a="http://schemas.openxmlformats.org/drawingml/2006/main" w="19050">
                <a:solidFill>
                  <a:srgbClr val="FFFFFF"/>
                </a:solidFill>
                <a:prstDash val="solid"/>
              </a:ln>
            </spPr>
          </dPt>
          <dPt>
            <idx val="1"/>
            <spPr>
              <a:solidFill xmlns:a="http://schemas.openxmlformats.org/drawingml/2006/main">
                <a:srgbClr val="2A78D6"/>
              </a:solidFill>
              <a:ln xmlns:a="http://schemas.openxmlformats.org/drawingml/2006/main" w="19050">
                <a:solidFill>
                  <a:srgbClr val="FFFFFF"/>
                </a:solidFill>
                <a:prstDash val="solid"/>
              </a:ln>
            </spPr>
          </dPt>
          <dPt>
            <idx val="2"/>
            <spPr>
              <a:solidFill xmlns:a="http://schemas.openxmlformats.org/drawingml/2006/main">
                <a:srgbClr val="B9C0C8"/>
              </a:solidFill>
              <a:ln xmlns:a="http://schemas.openxmlformats.org/drawingml/2006/main" w="19050">
                <a:solidFill>
                  <a:srgbClr val="FFFFFF"/>
                </a:solidFill>
                <a:prstDash val="solid"/>
              </a:ln>
            </spPr>
          </dPt>
          <dPt>
            <idx val="3"/>
            <spPr>
              <a:solidFill xmlns:a="http://schemas.openxmlformats.org/drawingml/2006/main">
                <a:srgbClr val="B9C0C8"/>
              </a:solidFill>
              <a:ln xmlns:a="http://schemas.openxmlformats.org/drawingml/2006/main" w="19050">
                <a:solidFill>
                  <a:srgbClr val="FFFFFF"/>
                </a:solidFill>
                <a:prstDash val="solid"/>
              </a:ln>
            </spPr>
          </dPt>
          <dPt>
            <idx val="4"/>
            <spPr>
              <a:solidFill xmlns:a="http://schemas.openxmlformats.org/drawingml/2006/main">
                <a:srgbClr val="B9C0C8"/>
              </a:solidFill>
              <a:ln xmlns:a="http://schemas.openxmlformats.org/drawingml/2006/main" w="19050">
                <a:solidFill>
                  <a:srgbClr val="FFFFFF"/>
                </a:solidFill>
                <a:prstDash val="solid"/>
              </a:ln>
            </spPr>
          </dPt>
          <cat>
            <strRef>
              <f>'Dashboard'!$A$11:$A$15</f>
            </strRef>
          </cat>
          <val>
            <numRef>
              <f>'Dashboard'!$B$11:$B$15</f>
            </numRef>
          </val>
        </ser>
        <dLbls>
          <numFmt formatCode="0"/>
          <dLblPos val="outEnd"/>
          <showLegendKey val="0"/>
          <showVal val="1"/>
          <showCatName val="0"/>
          <showSerName val="0"/>
        </dLbls>
        <gapWidth val="55"/>
        <overlap val="-12"/>
        <axId val="10"/>
        <axId val="100"/>
      </barChart>
      <catAx>
        <axId val="10"/>
        <scaling>
          <orientation val="minMax"/>
        </scaling>
        <delete val="0"/>
        <axPos val="l"/>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title>
          <tx>
            <rich>
              <a:bodyPr xmlns:a="http://schemas.openxmlformats.org/drawingml/2006/main"/>
              <a:p xmlns:a="http://schemas.openxmlformats.org/drawingml/2006/main">
                <a:pPr>
                  <a:defRPr/>
                </a:pPr>
                <a:r>
                  <a:t>person-days</a:t>
                </a:r>
              </a:p>
            </rich>
          </tx>
        </title>
        <numFmt formatCode="0" sourceLinked="0"/>
        <majorTickMark val="none"/>
        <minorTickMark val="none"/>
        <spPr>
          <a:ln xmlns:a="http://schemas.openxmlformats.org/drawingml/2006/main" w="9525">
            <a:solidFill>
              <a:srgbClr val="C8CFD6"/>
            </a:solidFill>
            <a:prstDash val="solid"/>
          </a:ln>
        </spPr>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Days per role, before and after AI assistance</a:t>
            </a:r>
          </a:p>
        </rich>
      </tx>
    </title>
    <plotArea>
      <barChart>
        <barDir val="col"/>
        <grouping val="clustered"/>
        <ser>
          <idx val="0"/>
          <order val="0"/>
          <tx>
            <strRef>
              <f>'Dashboard'!B27</f>
            </strRef>
          </tx>
          <spPr>
            <a:solidFill xmlns:a="http://schemas.openxmlformats.org/drawingml/2006/main">
              <a:srgbClr val="2A78D6"/>
            </a:solidFill>
            <a:ln xmlns:a="http://schemas.openxmlformats.org/drawingml/2006/main" w="19050">
              <a:solidFill>
                <a:srgbClr val="FFFFFF"/>
              </a:solidFill>
              <a:prstDash val="solid"/>
            </a:ln>
          </spPr>
          <cat>
            <strRef>
              <f>'Dashboard'!$A$28:$A$31</f>
            </strRef>
          </cat>
          <val>
            <numRef>
              <f>'Dashboard'!$B$28:$B$31</f>
            </numRef>
          </val>
        </ser>
        <ser>
          <idx val="1"/>
          <order val="1"/>
          <tx>
            <strRef>
              <f>'Dashboard'!C27</f>
            </strRef>
          </tx>
          <spPr>
            <a:solidFill xmlns:a="http://schemas.openxmlformats.org/drawingml/2006/main">
              <a:srgbClr val="EB6834"/>
            </a:solidFill>
            <a:ln xmlns:a="http://schemas.openxmlformats.org/drawingml/2006/main" w="19050">
              <a:solidFill>
                <a:srgbClr val="FFFFFF"/>
              </a:solidFill>
              <a:prstDash val="solid"/>
            </a:ln>
          </spPr>
          <cat>
            <strRef>
              <f>'Dashboard'!$A$28:$A$31</f>
            </strRef>
          </cat>
          <val>
            <numRef>
              <f>'Dashboard'!$C$28:$C$31</f>
            </numRef>
          </val>
        </ser>
        <dLbls>
          <numFmt formatCode="0"/>
          <dLblPos val="outEnd"/>
          <showLegendKey val="0"/>
          <showVal val="1"/>
          <showCatName val="0"/>
          <showSerName val="0"/>
        </dLbls>
        <gapWidth val="55"/>
        <overlap val="-12"/>
        <axId val="10"/>
        <axId val="100"/>
      </barChart>
      <catAx>
        <axId val="10"/>
        <scaling>
          <orientation val="minMax"/>
        </scaling>
        <delete val="0"/>
        <axPos val="l"/>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title>
          <tx>
            <rich>
              <a:bodyPr xmlns:a="http://schemas.openxmlformats.org/drawingml/2006/main"/>
              <a:p xmlns:a="http://schemas.openxmlformats.org/drawingml/2006/main">
                <a:pPr>
                  <a:defRPr/>
                </a:pPr>
                <a:r>
                  <a:t>person-days</a:t>
                </a:r>
              </a:p>
            </rich>
          </tx>
        </title>
        <numFmt formatCode="0" sourceLinked="0"/>
        <majorTickMark val="none"/>
        <minorTickMark val="none"/>
        <spPr>
          <a:ln xmlns:a="http://schemas.openxmlformats.org/drawingml/2006/main" w="9525">
            <a:solidFill>
              <a:srgbClr val="C8CFD6"/>
            </a:solidFill>
            <a:prstDash val="solid"/>
          </a:ln>
        </spPr>
        <crossAx val="10"/>
      </valAx>
    </plotArea>
    <legend>
      <legendPos val="b"/>
      <overlay val="0"/>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Share of effort by role, per milestone</a:t>
            </a:r>
          </a:p>
        </rich>
      </tx>
    </title>
    <plotArea>
      <barChart>
        <barDir val="col"/>
        <grouping val="percentStacked"/>
        <ser>
          <idx val="0"/>
          <order val="0"/>
          <tx>
            <strRef>
              <f>'Dashboard'!B44</f>
            </strRef>
          </tx>
          <spPr>
            <a:solidFill xmlns:a="http://schemas.openxmlformats.org/drawingml/2006/main">
              <a:srgbClr val="2A78D6"/>
            </a:solidFill>
            <a:ln xmlns:a="http://schemas.openxmlformats.org/drawingml/2006/main" w="19050">
              <a:solidFill>
                <a:srgbClr val="FFFFFF"/>
              </a:solidFill>
              <a:prstDash val="solid"/>
            </a:ln>
          </spPr>
          <cat>
            <strRef>
              <f>'Dashboard'!$A$45:$A$49</f>
            </strRef>
          </cat>
          <val>
            <numRef>
              <f>'Dashboard'!$B$45:$B$49</f>
            </numRef>
          </val>
        </ser>
        <ser>
          <idx val="1"/>
          <order val="1"/>
          <tx>
            <strRef>
              <f>'Dashboard'!C44</f>
            </strRef>
          </tx>
          <spPr>
            <a:solidFill xmlns:a="http://schemas.openxmlformats.org/drawingml/2006/main">
              <a:srgbClr val="EB6834"/>
            </a:solidFill>
            <a:ln xmlns:a="http://schemas.openxmlformats.org/drawingml/2006/main" w="19050">
              <a:solidFill>
                <a:srgbClr val="FFFFFF"/>
              </a:solidFill>
              <a:prstDash val="solid"/>
            </a:ln>
          </spPr>
          <cat>
            <strRef>
              <f>'Dashboard'!$A$45:$A$49</f>
            </strRef>
          </cat>
          <val>
            <numRef>
              <f>'Dashboard'!$C$45:$C$49</f>
            </numRef>
          </val>
        </ser>
        <ser>
          <idx val="2"/>
          <order val="2"/>
          <tx>
            <strRef>
              <f>'Dashboard'!D44</f>
            </strRef>
          </tx>
          <spPr>
            <a:solidFill xmlns:a="http://schemas.openxmlformats.org/drawingml/2006/main">
              <a:srgbClr val="1BAF7A"/>
            </a:solidFill>
            <a:ln xmlns:a="http://schemas.openxmlformats.org/drawingml/2006/main" w="19050">
              <a:solidFill>
                <a:srgbClr val="FFFFFF"/>
              </a:solidFill>
              <a:prstDash val="solid"/>
            </a:ln>
          </spPr>
          <cat>
            <strRef>
              <f>'Dashboard'!$A$45:$A$49</f>
            </strRef>
          </cat>
          <val>
            <numRef>
              <f>'Dashboard'!$D$45:$D$49</f>
            </numRef>
          </val>
        </ser>
        <ser>
          <idx val="3"/>
          <order val="3"/>
          <tx>
            <strRef>
              <f>'Dashboard'!E44</f>
            </strRef>
          </tx>
          <spPr>
            <a:solidFill xmlns:a="http://schemas.openxmlformats.org/drawingml/2006/main">
              <a:srgbClr val="EDA100"/>
            </a:solidFill>
            <a:ln xmlns:a="http://schemas.openxmlformats.org/drawingml/2006/main" w="19050">
              <a:solidFill>
                <a:srgbClr val="FFFFFF"/>
              </a:solidFill>
              <a:prstDash val="solid"/>
            </a:ln>
          </spPr>
          <cat>
            <strRef>
              <f>'Dashboard'!$A$45:$A$49</f>
            </strRef>
          </cat>
          <val>
            <numRef>
              <f>'Dashboard'!$E$45:$E$49</f>
            </numRef>
          </val>
        </ser>
        <gapWidth val="55"/>
        <overlap val="100"/>
        <axId val="10"/>
        <axId val="100"/>
      </barChart>
      <catAx>
        <axId val="10"/>
        <scaling>
          <orientation val="minMax"/>
        </scaling>
        <delete val="0"/>
        <axPos val="l"/>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numFmt formatCode="0%" sourceLinked="0"/>
        <majorTickMark val="none"/>
        <minorTickMark val="none"/>
        <spPr>
          <a:ln xmlns:a="http://schemas.openxmlformats.org/drawingml/2006/main" w="9525">
            <a:solidFill>
              <a:srgbClr val="C8CFD6"/>
            </a:solidFill>
            <a:prstDash val="solid"/>
          </a:ln>
        </spPr>
        <crossAx val="10"/>
      </valAx>
    </plotArea>
    <legend>
      <legendPos val="b"/>
      <overlay val="0"/>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Effort by work-item size</a:t>
            </a:r>
          </a:p>
        </rich>
      </tx>
    </title>
    <plotArea>
      <barChart>
        <barDir val="col"/>
        <grouping val="clustered"/>
        <ser>
          <idx val="0"/>
          <order val="0"/>
          <tx>
            <strRef>
              <f>'Dashboard'!C61</f>
            </strRef>
          </tx>
          <spPr>
            <a:solidFill xmlns:a="http://schemas.openxmlformats.org/drawingml/2006/main">
              <a:srgbClr val="2A78D6"/>
            </a:solidFill>
            <a:ln xmlns:a="http://schemas.openxmlformats.org/drawingml/2006/main" w="19050">
              <a:solidFill>
                <a:srgbClr val="FFFFFF"/>
              </a:solidFill>
              <a:prstDash val="solid"/>
            </a:ln>
          </spPr>
          <cat>
            <strRef>
              <f>'Dashboard'!$A$62:$A$65</f>
            </strRef>
          </cat>
          <val>
            <numRef>
              <f>'Dashboard'!$C$62:$C$65</f>
            </numRef>
          </val>
        </ser>
        <dLbls>
          <numFmt formatCode="0"/>
          <dLblPos val="outEnd"/>
          <showLegendKey val="0"/>
          <showVal val="1"/>
          <showCatName val="0"/>
          <showSerName val="0"/>
        </dLbls>
        <gapWidth val="55"/>
        <overlap val="-12"/>
        <axId val="10"/>
        <axId val="100"/>
      </barChart>
      <catAx>
        <axId val="10"/>
        <scaling>
          <orientation val="minMax"/>
        </scaling>
        <delete val="0"/>
        <axPos val="l"/>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title>
          <tx>
            <rich>
              <a:bodyPr xmlns:a="http://schemas.openxmlformats.org/drawingml/2006/main"/>
              <a:p xmlns:a="http://schemas.openxmlformats.org/drawingml/2006/main">
                <a:pPr>
                  <a:defRPr/>
                </a:pPr>
                <a:r>
                  <a:t>person-days</a:t>
                </a:r>
              </a:p>
            </rich>
          </tx>
        </title>
        <numFmt formatCode="0" sourceLinked="0"/>
        <majorTickMark val="none"/>
        <minorTickMark val="none"/>
        <spPr>
          <a:ln xmlns:a="http://schemas.openxmlformats.org/drawingml/2006/main" w="9525">
            <a:solidFill>
              <a:srgbClr val="C8CFD6"/>
            </a:solidFill>
            <a:prstDash val="solid"/>
          </a:ln>
        </spPr>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Effort by workstream, in document order</a:t>
            </a:r>
          </a:p>
        </rich>
      </tx>
    </title>
    <plotArea>
      <barChart>
        <barDir val="bar"/>
        <grouping val="clustered"/>
        <ser>
          <idx val="0"/>
          <order val="0"/>
          <tx>
            <strRef>
              <f>'Dashboard'!C78</f>
            </strRef>
          </tx>
          <spPr>
            <a:solidFill xmlns:a="http://schemas.openxmlformats.org/drawingml/2006/main">
              <a:srgbClr val="2A78D6"/>
            </a:solidFill>
            <a:ln xmlns:a="http://schemas.openxmlformats.org/drawingml/2006/main" w="19050">
              <a:solidFill>
                <a:srgbClr val="FFFFFF"/>
              </a:solidFill>
              <a:prstDash val="solid"/>
            </a:ln>
          </spPr>
          <cat>
            <strRef>
              <f>'Dashboard'!$A$79:$A$93</f>
            </strRef>
          </cat>
          <val>
            <numRef>
              <f>'Dashboard'!$C$79:$C$93</f>
            </numRef>
          </val>
        </ser>
        <dLbls>
          <numFmt formatCode="0"/>
          <dLblPos val="outEnd"/>
          <showLegendKey val="0"/>
          <showVal val="1"/>
          <showCatName val="0"/>
          <showSerName val="0"/>
        </dLbls>
        <gapWidth val="55"/>
        <overlap val="-12"/>
        <axId val="10"/>
        <axId val="100"/>
      </barChart>
      <catAx>
        <axId val="10"/>
        <scaling>
          <orientation val="minMax"/>
        </scaling>
        <delete val="0"/>
        <axPos val="l"/>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numFmt formatCode="0" sourceLinked="0"/>
        <majorTickMark val="none"/>
        <minorTickMark val="none"/>
        <spPr>
          <a:ln xmlns:a="http://schemas.openxmlformats.org/drawingml/2006/main" w="9525">
            <a:solidFill>
              <a:srgbClr val="C8CFD6"/>
            </a:solidFill>
            <a:prstDash val="solid"/>
          </a:ln>
        </spPr>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Each role's days, split across the milestones</a:t>
            </a:r>
          </a:p>
        </rich>
      </tx>
    </title>
    <plotArea>
      <barChart>
        <barDir val="bar"/>
        <grouping val="stacked"/>
        <ser>
          <idx val="0"/>
          <order val="0"/>
          <tx>
            <strRef>
              <f>'Effort by role'!C4</f>
            </strRef>
          </tx>
          <spPr>
            <a:solidFill xmlns:a="http://schemas.openxmlformats.org/drawingml/2006/main">
              <a:srgbClr val="86B6EF"/>
            </a:solidFill>
            <a:ln xmlns:a="http://schemas.openxmlformats.org/drawingml/2006/main" w="19050">
              <a:solidFill>
                <a:srgbClr val="FFFFFF"/>
              </a:solidFill>
              <a:prstDash val="solid"/>
            </a:ln>
          </spPr>
          <cat>
            <strRef>
              <f>'Effort by role'!$B$5:$B$8</f>
            </strRef>
          </cat>
          <val>
            <numRef>
              <f>'Effort by role'!$C$5:$C$8</f>
            </numRef>
          </val>
        </ser>
        <ser>
          <idx val="1"/>
          <order val="1"/>
          <tx>
            <strRef>
              <f>'Effort by role'!D4</f>
            </strRef>
          </tx>
          <spPr>
            <a:solidFill xmlns:a="http://schemas.openxmlformats.org/drawingml/2006/main">
              <a:srgbClr val="5598E7"/>
            </a:solidFill>
            <a:ln xmlns:a="http://schemas.openxmlformats.org/drawingml/2006/main" w="19050">
              <a:solidFill>
                <a:srgbClr val="FFFFFF"/>
              </a:solidFill>
              <a:prstDash val="solid"/>
            </a:ln>
          </spPr>
          <cat>
            <strRef>
              <f>'Effort by role'!$B$5:$B$8</f>
            </strRef>
          </cat>
          <val>
            <numRef>
              <f>'Effort by role'!$D$5:$D$8</f>
            </numRef>
          </val>
        </ser>
        <ser>
          <idx val="2"/>
          <order val="2"/>
          <tx>
            <strRef>
              <f>'Effort by role'!E4</f>
            </strRef>
          </tx>
          <spPr>
            <a:solidFill xmlns:a="http://schemas.openxmlformats.org/drawingml/2006/main">
              <a:srgbClr val="2A78D6"/>
            </a:solidFill>
            <a:ln xmlns:a="http://schemas.openxmlformats.org/drawingml/2006/main" w="19050">
              <a:solidFill>
                <a:srgbClr val="FFFFFF"/>
              </a:solidFill>
              <a:prstDash val="solid"/>
            </a:ln>
          </spPr>
          <cat>
            <strRef>
              <f>'Effort by role'!$B$5:$B$8</f>
            </strRef>
          </cat>
          <val>
            <numRef>
              <f>'Effort by role'!$E$5:$E$8</f>
            </numRef>
          </val>
        </ser>
        <ser>
          <idx val="3"/>
          <order val="3"/>
          <tx>
            <strRef>
              <f>'Effort by role'!F4</f>
            </strRef>
          </tx>
          <spPr>
            <a:solidFill xmlns:a="http://schemas.openxmlformats.org/drawingml/2006/main">
              <a:srgbClr val="1C5CAB"/>
            </a:solidFill>
            <a:ln xmlns:a="http://schemas.openxmlformats.org/drawingml/2006/main" w="19050">
              <a:solidFill>
                <a:srgbClr val="FFFFFF"/>
              </a:solidFill>
              <a:prstDash val="solid"/>
            </a:ln>
          </spPr>
          <cat>
            <strRef>
              <f>'Effort by role'!$B$5:$B$8</f>
            </strRef>
          </cat>
          <val>
            <numRef>
              <f>'Effort by role'!$F$5:$F$8</f>
            </numRef>
          </val>
        </ser>
        <ser>
          <idx val="4"/>
          <order val="4"/>
          <tx>
            <strRef>
              <f>'Effort by role'!G4</f>
            </strRef>
          </tx>
          <spPr>
            <a:solidFill xmlns:a="http://schemas.openxmlformats.org/drawingml/2006/main">
              <a:srgbClr val="104281"/>
            </a:solidFill>
            <a:ln xmlns:a="http://schemas.openxmlformats.org/drawingml/2006/main" w="19050">
              <a:solidFill>
                <a:srgbClr val="FFFFFF"/>
              </a:solidFill>
              <a:prstDash val="solid"/>
            </a:ln>
          </spPr>
          <cat>
            <strRef>
              <f>'Effort by role'!$B$5:$B$8</f>
            </strRef>
          </cat>
          <val>
            <numRef>
              <f>'Effort by role'!$G$5:$G$8</f>
            </numRef>
          </val>
        </ser>
        <gapWidth val="55"/>
        <overlap val="100"/>
        <axId val="10"/>
        <axId val="100"/>
      </barChart>
      <catAx>
        <axId val="10"/>
        <scaling>
          <orientation val="minMax"/>
        </scaling>
        <delete val="0"/>
        <axPos val="l"/>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numFmt formatCode="0" sourceLinked="0"/>
        <majorTickMark val="none"/>
        <minorTickMark val="none"/>
        <spPr>
          <a:ln xmlns:a="http://schemas.openxmlformats.org/drawingml/2006/main" w="9525">
            <a:solidFill>
              <a:srgbClr val="C8CFD6"/>
            </a:solidFill>
            <a:prstDash val="solid"/>
          </a:ln>
        </spPr>
        <crossAx val="10"/>
      </valAx>
    </plotArea>
    <legend>
      <legendPos val="b"/>
      <overlay val="0"/>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Days per milestone, by role</a:t>
            </a:r>
          </a:p>
        </rich>
      </tx>
    </title>
    <plotArea>
      <barChart>
        <barDir val="col"/>
        <grouping val="stacked"/>
        <ser>
          <idx val="0"/>
          <order val="0"/>
          <tx>
            <strRef>
              <f>'Effort by milestone'!D4</f>
            </strRef>
          </tx>
          <spPr>
            <a:solidFill xmlns:a="http://schemas.openxmlformats.org/drawingml/2006/main">
              <a:srgbClr val="2A78D6"/>
            </a:solidFill>
            <a:ln xmlns:a="http://schemas.openxmlformats.org/drawingml/2006/main" w="19050">
              <a:solidFill>
                <a:srgbClr val="FFFFFF"/>
              </a:solidFill>
              <a:prstDash val="solid"/>
            </a:ln>
          </spPr>
          <cat>
            <strRef>
              <f>'Effort by milestone'!$A$5:$A$9</f>
            </strRef>
          </cat>
          <val>
            <numRef>
              <f>'Effort by milestone'!$D$5:$D$9</f>
            </numRef>
          </val>
        </ser>
        <ser>
          <idx val="1"/>
          <order val="1"/>
          <tx>
            <strRef>
              <f>'Effort by milestone'!E4</f>
            </strRef>
          </tx>
          <spPr>
            <a:solidFill xmlns:a="http://schemas.openxmlformats.org/drawingml/2006/main">
              <a:srgbClr val="EB6834"/>
            </a:solidFill>
            <a:ln xmlns:a="http://schemas.openxmlformats.org/drawingml/2006/main" w="19050">
              <a:solidFill>
                <a:srgbClr val="FFFFFF"/>
              </a:solidFill>
              <a:prstDash val="solid"/>
            </a:ln>
          </spPr>
          <cat>
            <strRef>
              <f>'Effort by milestone'!$A$5:$A$9</f>
            </strRef>
          </cat>
          <val>
            <numRef>
              <f>'Effort by milestone'!$E$5:$E$9</f>
            </numRef>
          </val>
        </ser>
        <ser>
          <idx val="2"/>
          <order val="2"/>
          <tx>
            <strRef>
              <f>'Effort by milestone'!F4</f>
            </strRef>
          </tx>
          <spPr>
            <a:solidFill xmlns:a="http://schemas.openxmlformats.org/drawingml/2006/main">
              <a:srgbClr val="1BAF7A"/>
            </a:solidFill>
            <a:ln xmlns:a="http://schemas.openxmlformats.org/drawingml/2006/main" w="19050">
              <a:solidFill>
                <a:srgbClr val="FFFFFF"/>
              </a:solidFill>
              <a:prstDash val="solid"/>
            </a:ln>
          </spPr>
          <cat>
            <strRef>
              <f>'Effort by milestone'!$A$5:$A$9</f>
            </strRef>
          </cat>
          <val>
            <numRef>
              <f>'Effort by milestone'!$F$5:$F$9</f>
            </numRef>
          </val>
        </ser>
        <ser>
          <idx val="3"/>
          <order val="3"/>
          <tx>
            <strRef>
              <f>'Effort by milestone'!G4</f>
            </strRef>
          </tx>
          <spPr>
            <a:solidFill xmlns:a="http://schemas.openxmlformats.org/drawingml/2006/main">
              <a:srgbClr val="EDA100"/>
            </a:solidFill>
            <a:ln xmlns:a="http://schemas.openxmlformats.org/drawingml/2006/main" w="19050">
              <a:solidFill>
                <a:srgbClr val="FFFFFF"/>
              </a:solidFill>
              <a:prstDash val="solid"/>
            </a:ln>
          </spPr>
          <cat>
            <strRef>
              <f>'Effort by milestone'!$A$5:$A$9</f>
            </strRef>
          </cat>
          <val>
            <numRef>
              <f>'Effort by milestone'!$G$5:$G$9</f>
            </numRef>
          </val>
        </ser>
        <dLbls>
          <numFmt formatCode="0"/>
          <dLblPos val="ctr"/>
          <showLegendKey val="0"/>
          <showVal val="1"/>
          <showCatName val="0"/>
          <showSerName val="0"/>
        </dLbls>
        <gapWidth val="55"/>
        <overlap val="100"/>
        <axId val="10"/>
        <axId val="100"/>
      </barChart>
      <catAx>
        <axId val="10"/>
        <scaling>
          <orientation val="minMax"/>
        </scaling>
        <delete val="0"/>
        <axPos val="l"/>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title>
          <tx>
            <rich>
              <a:bodyPr xmlns:a="http://schemas.openxmlformats.org/drawingml/2006/main"/>
              <a:p xmlns:a="http://schemas.openxmlformats.org/drawingml/2006/main">
                <a:pPr>
                  <a:defRPr/>
                </a:pPr>
                <a:r>
                  <a:t>person-days</a:t>
                </a:r>
              </a:p>
            </rich>
          </tx>
        </title>
        <numFmt formatCode="0" sourceLinked="0"/>
        <majorTickMark val="none"/>
        <minorTickMark val="none"/>
        <spPr>
          <a:ln xmlns:a="http://schemas.openxmlformats.org/drawingml/2006/main" w="9525">
            <a:solidFill>
              <a:srgbClr val="C8CFD6"/>
            </a:solidFill>
            <a:prstDash val="solid"/>
          </a:ln>
        </spPr>
        <crossAx val="10"/>
      </valAx>
    </plotArea>
    <legend>
      <legendPos val="b"/>
      <overlay val="0"/>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Workstream effort, by role</a:t>
            </a:r>
          </a:p>
        </rich>
      </tx>
    </title>
    <plotArea>
      <barChart>
        <barDir val="bar"/>
        <grouping val="stacked"/>
        <ser>
          <idx val="0"/>
          <order val="0"/>
          <tx>
            <strRef>
              <f>'Effort by workstream'!F4</f>
            </strRef>
          </tx>
          <spPr>
            <a:solidFill xmlns:a="http://schemas.openxmlformats.org/drawingml/2006/main">
              <a:srgbClr val="2A78D6"/>
            </a:solidFill>
            <a:ln xmlns:a="http://schemas.openxmlformats.org/drawingml/2006/main" w="19050">
              <a:solidFill>
                <a:srgbClr val="FFFFFF"/>
              </a:solidFill>
              <a:prstDash val="solid"/>
            </a:ln>
          </spPr>
          <cat>
            <strRef>
              <f>'Effort by workstream'!$A$5:$A$19</f>
            </strRef>
          </cat>
          <val>
            <numRef>
              <f>'Effort by workstream'!$F$5:$F$19</f>
            </numRef>
          </val>
        </ser>
        <ser>
          <idx val="1"/>
          <order val="1"/>
          <tx>
            <strRef>
              <f>'Effort by workstream'!G4</f>
            </strRef>
          </tx>
          <spPr>
            <a:solidFill xmlns:a="http://schemas.openxmlformats.org/drawingml/2006/main">
              <a:srgbClr val="EB6834"/>
            </a:solidFill>
            <a:ln xmlns:a="http://schemas.openxmlformats.org/drawingml/2006/main" w="19050">
              <a:solidFill>
                <a:srgbClr val="FFFFFF"/>
              </a:solidFill>
              <a:prstDash val="solid"/>
            </a:ln>
          </spPr>
          <cat>
            <strRef>
              <f>'Effort by workstream'!$A$5:$A$19</f>
            </strRef>
          </cat>
          <val>
            <numRef>
              <f>'Effort by workstream'!$G$5:$G$19</f>
            </numRef>
          </val>
        </ser>
        <ser>
          <idx val="2"/>
          <order val="2"/>
          <tx>
            <strRef>
              <f>'Effort by workstream'!H4</f>
            </strRef>
          </tx>
          <spPr>
            <a:solidFill xmlns:a="http://schemas.openxmlformats.org/drawingml/2006/main">
              <a:srgbClr val="1BAF7A"/>
            </a:solidFill>
            <a:ln xmlns:a="http://schemas.openxmlformats.org/drawingml/2006/main" w="19050">
              <a:solidFill>
                <a:srgbClr val="FFFFFF"/>
              </a:solidFill>
              <a:prstDash val="solid"/>
            </a:ln>
          </spPr>
          <cat>
            <strRef>
              <f>'Effort by workstream'!$A$5:$A$19</f>
            </strRef>
          </cat>
          <val>
            <numRef>
              <f>'Effort by workstream'!$H$5:$H$19</f>
            </numRef>
          </val>
        </ser>
        <ser>
          <idx val="3"/>
          <order val="3"/>
          <tx>
            <strRef>
              <f>'Effort by workstream'!I4</f>
            </strRef>
          </tx>
          <spPr>
            <a:solidFill xmlns:a="http://schemas.openxmlformats.org/drawingml/2006/main">
              <a:srgbClr val="EDA100"/>
            </a:solidFill>
            <a:ln xmlns:a="http://schemas.openxmlformats.org/drawingml/2006/main" w="19050">
              <a:solidFill>
                <a:srgbClr val="FFFFFF"/>
              </a:solidFill>
              <a:prstDash val="solid"/>
            </a:ln>
          </spPr>
          <cat>
            <strRef>
              <f>'Effort by workstream'!$A$5:$A$19</f>
            </strRef>
          </cat>
          <val>
            <numRef>
              <f>'Effort by workstream'!$I$5:$I$19</f>
            </numRef>
          </val>
        </ser>
        <gapWidth val="55"/>
        <overlap val="100"/>
        <axId val="10"/>
        <axId val="100"/>
      </barChart>
      <catAx>
        <axId val="10"/>
        <scaling>
          <orientation val="minMax"/>
        </scaling>
        <delete val="0"/>
        <axPos val="l"/>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numFmt formatCode="0" sourceLinked="0"/>
        <majorTickMark val="none"/>
        <minorTickMark val="none"/>
        <spPr>
          <a:ln xmlns:a="http://schemas.openxmlformats.org/drawingml/2006/main" w="9525">
            <a:solidFill>
              <a:srgbClr val="C8CFD6"/>
            </a:solidFill>
            <a:prstDash val="solid"/>
          </a:ln>
        </spPr>
        <crossAx val="10"/>
      </valAx>
    </plotArea>
    <legend>
      <legendPos val="b"/>
      <overlay val="0"/>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Total person-days against contingency, at three levels of assistance</a:t>
            </a:r>
          </a:p>
        </rich>
      </tx>
    </title>
    <plotArea>
      <lineChart>
        <grouping val="standard"/>
        <ser>
          <idx val="0"/>
          <order val="0"/>
          <tx>
            <strRef>
              <f>'Sensitivity'!B8</f>
            </strRef>
          </tx>
          <spPr>
            <a:ln xmlns:a="http://schemas.openxmlformats.org/drawingml/2006/main" w="25400">
              <a:solidFill>
                <a:srgbClr val="86B6EF"/>
              </a:solidFill>
              <a:prstDash val="solid"/>
            </a:ln>
          </spPr>
          <marker>
            <symbol val="circle"/>
            <size val="7"/>
            <spPr>
              <a:solidFill xmlns:a="http://schemas.openxmlformats.org/drawingml/2006/main">
                <a:srgbClr val="86B6EF"/>
              </a:solidFill>
              <a:ln xmlns:a="http://schemas.openxmlformats.org/drawingml/2006/main" w="12700">
                <a:solidFill>
                  <a:srgbClr val="FFFFFF"/>
                </a:solidFill>
                <a:prstDash val="solid"/>
              </a:ln>
            </spPr>
          </marker>
          <cat>
            <numRef>
              <f>'Sensitivity'!$A$9:$A$14</f>
            </numRef>
          </cat>
          <val>
            <numRef>
              <f>'Sensitivity'!$B$9:$B$14</f>
            </numRef>
          </val>
          <smooth val="0"/>
        </ser>
        <ser>
          <idx val="1"/>
          <order val="1"/>
          <tx>
            <strRef>
              <f>'Sensitivity'!C8</f>
            </strRef>
          </tx>
          <spPr>
            <a:ln xmlns:a="http://schemas.openxmlformats.org/drawingml/2006/main" w="25400">
              <a:solidFill>
                <a:srgbClr val="2A78D6"/>
              </a:solidFill>
              <a:prstDash val="solid"/>
            </a:ln>
          </spPr>
          <marker>
            <symbol val="circle"/>
            <size val="7"/>
            <spPr>
              <a:solidFill xmlns:a="http://schemas.openxmlformats.org/drawingml/2006/main">
                <a:srgbClr val="2A78D6"/>
              </a:solidFill>
              <a:ln xmlns:a="http://schemas.openxmlformats.org/drawingml/2006/main" w="12700">
                <a:solidFill>
                  <a:srgbClr val="FFFFFF"/>
                </a:solidFill>
                <a:prstDash val="solid"/>
              </a:ln>
            </spPr>
          </marker>
          <cat>
            <numRef>
              <f>'Sensitivity'!$A$9:$A$14</f>
            </numRef>
          </cat>
          <val>
            <numRef>
              <f>'Sensitivity'!$C$9:$C$14</f>
            </numRef>
          </val>
          <smooth val="0"/>
        </ser>
        <ser>
          <idx val="2"/>
          <order val="2"/>
          <tx>
            <strRef>
              <f>'Sensitivity'!D8</f>
            </strRef>
          </tx>
          <spPr>
            <a:ln xmlns:a="http://schemas.openxmlformats.org/drawingml/2006/main" w="25400">
              <a:solidFill>
                <a:srgbClr val="104281"/>
              </a:solidFill>
              <a:prstDash val="solid"/>
            </a:ln>
          </spPr>
          <marker>
            <symbol val="circle"/>
            <size val="7"/>
            <spPr>
              <a:solidFill xmlns:a="http://schemas.openxmlformats.org/drawingml/2006/main">
                <a:srgbClr val="104281"/>
              </a:solidFill>
              <a:ln xmlns:a="http://schemas.openxmlformats.org/drawingml/2006/main" w="12700">
                <a:solidFill>
                  <a:srgbClr val="FFFFFF"/>
                </a:solidFill>
                <a:prstDash val="solid"/>
              </a:ln>
            </spPr>
          </marker>
          <cat>
            <numRef>
              <f>'Sensitivity'!$A$9:$A$14</f>
            </numRef>
          </cat>
          <val>
            <numRef>
              <f>'Sensitivity'!$D$9:$D$14</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contingency</a:t>
                </a:r>
              </a:p>
            </rich>
          </tx>
        </title>
        <majorTickMark val="none"/>
        <minorTickMark val="none"/>
        <spPr>
          <a:ln xmlns:a="http://schemas.openxmlformats.org/drawingml/2006/main" w="9525">
            <a:solidFill>
              <a:srgbClr val="C8CFD6"/>
            </a:solidFill>
            <a:prstDash val="solid"/>
          </a:ln>
        </spPr>
        <crossAx val="100"/>
        <lblOffset val="100"/>
      </catAx>
      <valAx>
        <axId val="100"/>
        <scaling>
          <orientation val="minMax"/>
        </scaling>
        <delete val="0"/>
        <axPos val="l"/>
        <majorGridlines>
          <spPr>
            <a:ln xmlns:a="http://schemas.openxmlformats.org/drawingml/2006/main" w="9525">
              <a:solidFill>
                <a:srgbClr val="E3E7EB"/>
              </a:solidFill>
              <a:prstDash val="solid"/>
            </a:ln>
          </spPr>
        </majorGridlines>
        <title>
          <tx>
            <rich>
              <a:bodyPr xmlns:a="http://schemas.openxmlformats.org/drawingml/2006/main"/>
              <a:p xmlns:a="http://schemas.openxmlformats.org/drawingml/2006/main">
                <a:pPr>
                  <a:defRPr/>
                </a:pPr>
                <a:r>
                  <a:t>person-days</a:t>
                </a:r>
              </a:p>
            </rich>
          </tx>
        </title>
        <numFmt formatCode="0" sourceLinked="0"/>
        <majorTickMark val="none"/>
        <minorTickMark val="none"/>
        <spPr>
          <a:ln xmlns:a="http://schemas.openxmlformats.org/drawingml/2006/main" w="9525">
            <a:solidFill>
              <a:srgbClr val="C8CFD6"/>
            </a:solidFill>
            <a:prstDash val="solid"/>
          </a:ln>
        </spPr>
        <crossAx val="10"/>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s>
</file>

<file path=xl/drawings/_rels/drawing3.xml.rels><Relationships xmlns="http://schemas.openxmlformats.org/package/2006/relationships"><Relationship Type="http://schemas.openxmlformats.org/officeDocument/2006/relationships/chart" Target="/xl/charts/chart7.xml" Id="rId1"/></Relationships>
</file>

<file path=xl/drawings/_rels/drawing4.xml.rels><Relationships xmlns="http://schemas.openxmlformats.org/package/2006/relationships"><Relationship Type="http://schemas.openxmlformats.org/officeDocument/2006/relationships/chart" Target="/xl/charts/chart8.xml" Id="rId1"/></Relationships>
</file>

<file path=xl/drawings/_rels/drawing5.xml.rels><Relationships xmlns="http://schemas.openxmlformats.org/package/2006/relationships"><Relationship Type="http://schemas.openxmlformats.org/officeDocument/2006/relationships/chart" Target="/xl/charts/chart9.xml" Id="rId1"/></Relationships>
</file>

<file path=xl/drawings/drawing1.xml><?xml version="1.0" encoding="utf-8"?>
<wsDr xmlns="http://schemas.openxmlformats.org/drawingml/2006/spreadsheetDrawing">
  <oneCellAnchor>
    <from>
      <col>7</col>
      <colOff>0</colOff>
      <row>9</row>
      <rowOff>0</rowOff>
    </from>
    <ext cx="558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26</row>
      <rowOff>0</rowOff>
    </from>
    <ext cx="5580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43</row>
      <rowOff>0</rowOff>
    </from>
    <ext cx="5580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60</row>
      <rowOff>0</rowOff>
    </from>
    <ext cx="5580000" cy="273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77</row>
      <rowOff>0</rowOff>
    </from>
    <ext cx="5580000" cy="46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0</col>
      <colOff>0</colOff>
      <row>12</row>
      <rowOff>0</rowOff>
    </from>
    <ext cx="558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13</row>
      <rowOff>0</rowOff>
    </from>
    <ext cx="558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21</row>
      <rowOff>0</rowOff>
    </from>
    <ext cx="55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15</row>
      <rowOff>0</rowOff>
    </from>
    <ext cx="612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PivotData" displayName="PivotData" ref="A4:J244" headerRowCount="1">
  <autoFilter ref="A4:J244"/>
  <tableColumns count="10">
    <tableColumn id="1" name="Work item"/>
    <tableColumn id="2" name="Milestone"/>
    <tableColumn id="3" name="Phase"/>
    <tableColumn id="4" name="Workstream"/>
    <tableColumn id="5" name="Size"/>
    <tableColumn id="6" name="Role"/>
    <tableColumn id="7" name="Share"/>
    <tableColumn id="8" name="Days before assist"/>
    <tableColumn id="9" name="Days after assist"/>
    <tableColumn id="10" name="Description"/>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30" customWidth="1" min="1" max="1"/>
    <col width="26" customWidth="1" min="2" max="2"/>
    <col width="26" customWidth="1" min="3" max="3"/>
    <col width="22" customWidth="1" min="4" max="4"/>
    <col width="22" customWidth="1" min="5" max="5"/>
    <col width="22" customWidth="1" min="6" max="6"/>
  </cols>
  <sheetData>
    <row r="1">
      <c r="A1" s="1" t="inlineStr">
        <is>
          <t>AI Guardrails — delivery model</t>
        </is>
      </c>
    </row>
    <row r="2" ht="18" customHeight="1">
      <c r="A2" s="2" t="inlineStr">
        <is>
          <t>Milestones, dependencies and gates are transcribed from solution-docs. The effort model laid over them is an assumption, not an estimate.</t>
        </is>
      </c>
    </row>
    <row r="4">
      <c r="A4" s="3" t="inlineStr">
        <is>
          <t>How to use it</t>
        </is>
      </c>
    </row>
    <row r="5">
      <c r="A5" s="4" t="inlineStr">
        <is>
          <t>1.  Open Assumptions.</t>
        </is>
      </c>
      <c r="B5" s="5" t="inlineStr">
        <is>
          <t>The only sheet with typed-in numbers, and every one is a placeholder chosen to make the model run. Replace them.</t>
        </is>
      </c>
    </row>
    <row r="6">
      <c r="A6" s="4" t="inlineStr">
        <is>
          <t>2.  Check the AI-assistance factors.</t>
        </is>
      </c>
      <c r="B6" s="5" t="inlineStr">
        <is>
          <t>They assume everyone here delivers with an agentic coding tool. Zero them for the unassisted model.</t>
        </is>
      </c>
    </row>
    <row r="7">
      <c r="A7" s="4" t="inlineStr">
        <is>
          <t>3.  Set a day rate per role.</t>
        </is>
      </c>
      <c r="B7" s="5" t="inlineStr">
        <is>
          <t>Leave them empty and every cost column stays empty rather than showing a misleading zero.</t>
        </is>
      </c>
    </row>
    <row r="8">
      <c r="A8" s="4" t="inlineStr">
        <is>
          <t>4.  Argue with the sizes and role splits.</t>
        </is>
      </c>
      <c r="B8" s="5" t="inlineStr">
        <is>
          <t>Both are judgements, editable on Work items, reasoned in the generator.</t>
        </is>
      </c>
    </row>
    <row r="9">
      <c r="A9" s="4" t="inlineStr">
        <is>
          <t>5.  Stress it.</t>
        </is>
      </c>
      <c r="B9" s="5" t="inlineStr">
        <is>
          <t>Sensitivity moves contingency and assistance together. Pivot data is the flat grain — build your own pivots off it.</t>
        </is>
      </c>
    </row>
    <row r="11">
      <c r="A11" s="3" t="inlineStr">
        <is>
          <t>How to read a cell</t>
        </is>
      </c>
    </row>
    <row r="12" ht="18" customHeight="1">
      <c r="A12" s="6" t="inlineStr">
        <is>
          <t>INPUT</t>
        </is>
      </c>
      <c r="B12" s="7" t="inlineStr">
        <is>
          <t>An assumption you own. Nothing in the source documentation supplies this value — edit it.</t>
        </is>
      </c>
    </row>
    <row r="13" ht="18" customHeight="1">
      <c r="A13" s="8" t="inlineStr">
        <is>
          <t>DERIVED</t>
        </is>
      </c>
      <c r="B13" s="7" t="inlineStr">
        <is>
          <t>Read from solution-docs at build time. Editing it here changes nothing upstream and is overwritten on the next build.</t>
        </is>
      </c>
    </row>
    <row r="14" ht="18" customHeight="1">
      <c r="A14" s="9" t="inlineStr">
        <is>
          <t>COMPUTED</t>
        </is>
      </c>
      <c r="B14" s="7" t="inlineStr">
        <is>
          <t>A formula over the other two. Never type over it.</t>
        </is>
      </c>
    </row>
    <row r="16">
      <c r="A16" s="3" t="inlineStr">
        <is>
          <t>What this workbook does not say</t>
        </is>
      </c>
    </row>
    <row r="17">
      <c r="A17" s="4" t="inlineStr">
        <is>
          <t>No schedule</t>
        </is>
      </c>
      <c r="B17" s="5" t="inlineStr">
        <is>
          <t>Milestone order is dependency sequencing. No dates, quarters or durations exist upstream and none are invented here.</t>
        </is>
      </c>
    </row>
    <row r="18">
      <c r="A18" s="4" t="inlineStr">
        <is>
          <t>Nothing is built</t>
        </is>
      </c>
      <c r="B18" s="5" t="inlineStr">
        <is>
          <t>Every work item is planned work. There is no percent-complete column because there is nothing to report against.</t>
        </is>
      </c>
    </row>
    <row r="19">
      <c r="A19" s="4" t="inlineStr">
        <is>
          <t>The effort model is yours</t>
        </is>
      </c>
      <c r="B19" s="5" t="inlineStr">
        <is>
          <t>Not an estimate the programme has produced. That estimation is owed by delivery and product leads and has not been supplied.</t>
        </is>
      </c>
    </row>
    <row r="20">
      <c r="A20" s="4" t="inlineStr">
        <is>
          <t>Phases 3–5 are not funded</t>
        </is>
      </c>
      <c r="B20" s="5" t="inlineStr">
        <is>
          <t>They are estimated because the feature set is defined across all five phases — not because the work may start before the gate.</t>
        </is>
      </c>
    </row>
    <row r="21">
      <c r="A21" s="4" t="inlineStr">
        <is>
          <t>AI assistance is this workbook's own assumption</t>
        </is>
      </c>
      <c r="B21" s="5" t="inlineStr">
        <is>
          <t>Stated in no source document. It reduces effort per role, never elapsed time — the external dependencies are approval-bound.</t>
        </is>
      </c>
    </row>
    <row r="23">
      <c r="A23" s="3" t="inlineStr">
        <is>
          <t>Where the content comes from</t>
        </is>
      </c>
    </row>
    <row r="24" ht="30" customHeight="1">
      <c r="A24" s="10" t="inlineStr">
        <is>
          <t>Sheet</t>
        </is>
      </c>
      <c r="B24" s="10" t="inlineStr">
        <is>
          <t>Source</t>
        </is>
      </c>
      <c r="C24" s="10" t="inlineStr"/>
      <c r="D24" s="10" t="inlineStr"/>
      <c r="E24" s="10" t="inlineStr"/>
      <c r="F24" s="10" t="inlineStr"/>
    </row>
    <row r="25">
      <c r="A25" s="4" t="inlineStr">
        <is>
          <t>Work items</t>
        </is>
      </c>
      <c r="B25" s="5" t="inlineStr">
        <is>
          <t>MILESTONES.md §3–§7 completion criteria, document order</t>
        </is>
      </c>
    </row>
    <row r="26">
      <c r="A26" s="4" t="inlineStr">
        <is>
          <t>Roadmap</t>
        </is>
      </c>
      <c r="B26" s="5" t="inlineStr">
        <is>
          <t>MILESTONES.md §2–§7; AGR-020 five-phase delivery</t>
        </is>
      </c>
    </row>
    <row r="27">
      <c r="A27" s="4" t="inlineStr">
        <is>
          <t>Dependencies</t>
        </is>
      </c>
      <c r="B27" s="5" t="inlineStr">
        <is>
          <t>DEPENDENCIES.md §2 register and §3 detail</t>
        </is>
      </c>
    </row>
    <row r="28">
      <c r="A28" s="4" t="inlineStr">
        <is>
          <t>Release gates</t>
        </is>
      </c>
      <c r="B28" s="5" t="inlineStr">
        <is>
          <t>RELEASE-CRITERIA.md gate tables</t>
        </is>
      </c>
    </row>
    <row r="29">
      <c r="A29" s="4" t="inlineStr">
        <is>
          <t>Roles</t>
        </is>
      </c>
      <c r="B29" s="5" t="inlineStr">
        <is>
          <t>TEAM-AND-OWNERSHIP.md §1 four ownership groups</t>
        </is>
      </c>
    </row>
    <row r="30">
      <c r="A30" s="4" t="inlineStr">
        <is>
          <t>Sizes and role splits</t>
        </is>
      </c>
      <c r="B30" s="5" t="inlineStr">
        <is>
          <t>Nowhere — assumed here. See Assumptions.</t>
        </is>
      </c>
    </row>
    <row r="31">
      <c r="A31" s="4" t="inlineStr">
        <is>
          <t>AI-assistance factors</t>
        </is>
      </c>
      <c r="B31" s="5" t="inlineStr">
        <is>
          <t>Nowhere, and in no other document — assumed here.</t>
        </is>
      </c>
    </row>
    <row r="32">
      <c r="A32" s="4" t="inlineStr">
        <is>
          <t>Every chart and rollup</t>
        </is>
      </c>
      <c r="B32" s="5" t="inlineStr">
        <is>
          <t>Formulas over the two rows above.</t>
        </is>
      </c>
    </row>
  </sheetData>
  <mergeCells count="27">
    <mergeCell ref="A16:F16"/>
    <mergeCell ref="B7:F7"/>
    <mergeCell ref="B25:F25"/>
    <mergeCell ref="B31:F31"/>
    <mergeCell ref="B18:F18"/>
    <mergeCell ref="B27:F27"/>
    <mergeCell ref="B21:F21"/>
    <mergeCell ref="A2:F2"/>
    <mergeCell ref="B12:F12"/>
    <mergeCell ref="A23:F23"/>
    <mergeCell ref="A4:F4"/>
    <mergeCell ref="B14:F14"/>
    <mergeCell ref="B8:F8"/>
    <mergeCell ref="B17:F17"/>
    <mergeCell ref="B13:F13"/>
    <mergeCell ref="B29:F29"/>
    <mergeCell ref="B28:F28"/>
    <mergeCell ref="B19:F19"/>
    <mergeCell ref="B9:F9"/>
    <mergeCell ref="B30:F30"/>
    <mergeCell ref="A11:F11"/>
    <mergeCell ref="B6:F6"/>
    <mergeCell ref="B20:F20"/>
    <mergeCell ref="A1:F1"/>
    <mergeCell ref="B5:F5"/>
    <mergeCell ref="B32:F32"/>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
  <sheetViews>
    <sheetView showGridLines="0"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Dashboard</t>
        </is>
      </c>
    </row>
    <row r="2" ht="32" customHeight="1">
      <c r="A2" s="2" t="inlineStr">
        <is>
          <t>Every figure is a formula over Assumptions and Work items. Change an assumption and every chart here moves with it.</t>
        </is>
      </c>
    </row>
    <row r="5" ht="14" customHeight="1">
      <c r="A5" s="11" t="inlineStr">
        <is>
          <t>TOTAL DAYS, AFTER AI ASSIST</t>
        </is>
      </c>
      <c r="C5" s="11" t="inlineStr">
        <is>
          <t>TOTAL DAYS, BEFORE AI ASSIST</t>
        </is>
      </c>
      <c r="E5" s="11" t="inlineStr">
        <is>
          <t>DAYS THE ASSIST ASSUMPTION REMOVES</t>
        </is>
      </c>
      <c r="G5" s="11" t="inlineStr">
        <is>
          <t>DAYS BEHIND THE PHASE 1–2 GATE</t>
        </is>
      </c>
    </row>
    <row r="6" ht="28" customHeight="1">
      <c r="A6" s="12">
        <f>'Work items'!$Q$66</f>
        <v/>
      </c>
      <c r="C6" s="12">
        <f>'Work items'!$G$66</f>
        <v/>
      </c>
      <c r="E6" s="12">
        <f>'Work items'!$G$66-'Work items'!$Q$66</f>
        <v/>
      </c>
      <c r="G6" s="12">
        <f>SUMIF('Work items'!$B$6:$B$65,"M1",'Work items'!$Q$6:$Q$65) + SUMIF('Work items'!$B$6:$B$65,"M2",'Work items'!$Q$6:$Q$65)</f>
        <v/>
      </c>
    </row>
    <row r="7" ht="26" customHeight="1">
      <c r="A7" s="13" t="inlineStr">
        <is>
          <t>The headline number. It is a model output, not an estimate.</t>
        </is>
      </c>
      <c r="C7" s="13" t="inlineStr">
        <is>
          <t>Set every assistance factor to zero and the headline becomes this.</t>
        </is>
      </c>
      <c r="E7" s="13" t="inlineStr">
        <is>
          <t>Removed by an assumption this workbook makes on its own authority.</t>
        </is>
      </c>
      <c r="G7" s="13" t="inlineStr">
        <is>
          <t>M1 and M2 only. The rest is estimated, and must not be resourced yet.</t>
        </is>
      </c>
    </row>
    <row r="9">
      <c r="A9" s="3" t="inlineStr">
        <is>
          <t>Where the effort sits</t>
        </is>
      </c>
    </row>
    <row r="10" ht="30" customHeight="1">
      <c r="A10" s="10" t="inlineStr">
        <is>
          <t>Milestone</t>
        </is>
      </c>
      <c r="B10" s="10" t="inlineStr">
        <is>
          <t>Days after AI assist</t>
        </is>
      </c>
    </row>
    <row r="11">
      <c r="A11" s="4" t="inlineStr">
        <is>
          <t>M1</t>
        </is>
      </c>
      <c r="B11" s="14">
        <f>SUMIF('Work items'!$B$6:$B$65,$A$11,'Work items'!$Q$6:$Q$65)</f>
        <v/>
      </c>
    </row>
    <row r="12">
      <c r="A12" s="4" t="inlineStr">
        <is>
          <t>M2</t>
        </is>
      </c>
      <c r="B12" s="14">
        <f>SUMIF('Work items'!$B$6:$B$65,$A$12,'Work items'!$Q$6:$Q$65)</f>
        <v/>
      </c>
    </row>
    <row r="13">
      <c r="A13" s="4" t="inlineStr">
        <is>
          <t>M3</t>
        </is>
      </c>
      <c r="B13" s="14">
        <f>SUMIF('Work items'!$B$6:$B$65,$A$13,'Work items'!$Q$6:$Q$65)</f>
        <v/>
      </c>
    </row>
    <row r="14">
      <c r="A14" s="4" t="inlineStr">
        <is>
          <t>M4</t>
        </is>
      </c>
      <c r="B14" s="14">
        <f>SUMIF('Work items'!$B$6:$B$65,$A$14,'Work items'!$Q$6:$Q$65)</f>
        <v/>
      </c>
    </row>
    <row r="15">
      <c r="A15" s="4" t="inlineStr">
        <is>
          <t>M5</t>
        </is>
      </c>
      <c r="B15" s="14">
        <f>SUMIF('Work items'!$B$6:$B$65,$A$15,'Work items'!$Q$6:$Q$65)</f>
        <v/>
      </c>
    </row>
    <row r="26">
      <c r="A26" s="3" t="inlineStr">
        <is>
          <t>What the AI-assistance assumption buys</t>
        </is>
      </c>
    </row>
    <row r="27" ht="30" customHeight="1">
      <c r="A27" s="10" t="inlineStr">
        <is>
          <t>Role</t>
        </is>
      </c>
      <c r="B27" s="10" t="inlineStr">
        <is>
          <t>Before assist</t>
        </is>
      </c>
      <c r="C27" s="10" t="inlineStr">
        <is>
          <t>After assist</t>
        </is>
      </c>
    </row>
    <row r="28">
      <c r="A28" s="4" t="inlineStr">
        <is>
          <t>AIG</t>
        </is>
      </c>
      <c r="B28" s="14">
        <f>SUMPRODUCT('Work items'!$G$6:$G$65,'Work items'!$H$6:$H$65)</f>
        <v/>
      </c>
      <c r="C28" s="14">
        <f>SUM('Work items'!$M$6:$M$65)</f>
        <v/>
      </c>
    </row>
    <row r="29">
      <c r="A29" s="4" t="inlineStr">
        <is>
          <t>OPS</t>
        </is>
      </c>
      <c r="B29" s="14">
        <f>SUMPRODUCT('Work items'!$G$6:$G$65,'Work items'!$I$6:$I$65)</f>
        <v/>
      </c>
      <c r="C29" s="14">
        <f>SUM('Work items'!$N$6:$N$65)</f>
        <v/>
      </c>
    </row>
    <row r="30">
      <c r="A30" s="4" t="inlineStr">
        <is>
          <t>SEC</t>
        </is>
      </c>
      <c r="B30" s="14">
        <f>SUMPRODUCT('Work items'!$G$6:$G$65,'Work items'!$J$6:$J$65)</f>
        <v/>
      </c>
      <c r="C30" s="14">
        <f>SUM('Work items'!$O$6:$O$65)</f>
        <v/>
      </c>
    </row>
    <row r="31">
      <c r="A31" s="4" t="inlineStr">
        <is>
          <t>CONS</t>
        </is>
      </c>
      <c r="B31" s="14">
        <f>SUMPRODUCT('Work items'!$G$6:$G$65,'Work items'!$K$6:$K$65)</f>
        <v/>
      </c>
      <c r="C31" s="14">
        <f>SUM('Work items'!$P$6:$P$65)</f>
        <v/>
      </c>
    </row>
    <row r="43">
      <c r="A43" s="3" t="inlineStr">
        <is>
          <t>How the role mix shifts across the milestones</t>
        </is>
      </c>
    </row>
    <row r="44" ht="30" customHeight="1">
      <c r="A44" s="10" t="inlineStr">
        <is>
          <t>Milestone</t>
        </is>
      </c>
      <c r="B44" s="10" t="inlineStr">
        <is>
          <t>AIG</t>
        </is>
      </c>
      <c r="C44" s="10" t="inlineStr">
        <is>
          <t>OPS</t>
        </is>
      </c>
      <c r="D44" s="10" t="inlineStr">
        <is>
          <t>SEC</t>
        </is>
      </c>
      <c r="E44" s="10" t="inlineStr">
        <is>
          <t>CONS</t>
        </is>
      </c>
    </row>
    <row r="45">
      <c r="A45" s="4" t="inlineStr">
        <is>
          <t>M1</t>
        </is>
      </c>
      <c r="B45" s="14">
        <f>SUMIF('Work items'!$B$6:$B$65,$A$45,'Work items'!$M$6:$M$65)</f>
        <v/>
      </c>
      <c r="C45" s="14">
        <f>SUMIF('Work items'!$B$6:$B$65,$A$45,'Work items'!$N$6:$N$65)</f>
        <v/>
      </c>
      <c r="D45" s="14">
        <f>SUMIF('Work items'!$B$6:$B$65,$A$45,'Work items'!$O$6:$O$65)</f>
        <v/>
      </c>
      <c r="E45" s="14">
        <f>SUMIF('Work items'!$B$6:$B$65,$A$45,'Work items'!$P$6:$P$65)</f>
        <v/>
      </c>
    </row>
    <row r="46">
      <c r="A46" s="4" t="inlineStr">
        <is>
          <t>M2</t>
        </is>
      </c>
      <c r="B46" s="14">
        <f>SUMIF('Work items'!$B$6:$B$65,$A$46,'Work items'!$M$6:$M$65)</f>
        <v/>
      </c>
      <c r="C46" s="14">
        <f>SUMIF('Work items'!$B$6:$B$65,$A$46,'Work items'!$N$6:$N$65)</f>
        <v/>
      </c>
      <c r="D46" s="14">
        <f>SUMIF('Work items'!$B$6:$B$65,$A$46,'Work items'!$O$6:$O$65)</f>
        <v/>
      </c>
      <c r="E46" s="14">
        <f>SUMIF('Work items'!$B$6:$B$65,$A$46,'Work items'!$P$6:$P$65)</f>
        <v/>
      </c>
    </row>
    <row r="47">
      <c r="A47" s="4" t="inlineStr">
        <is>
          <t>M3</t>
        </is>
      </c>
      <c r="B47" s="14">
        <f>SUMIF('Work items'!$B$6:$B$65,$A$47,'Work items'!$M$6:$M$65)</f>
        <v/>
      </c>
      <c r="C47" s="14">
        <f>SUMIF('Work items'!$B$6:$B$65,$A$47,'Work items'!$N$6:$N$65)</f>
        <v/>
      </c>
      <c r="D47" s="14">
        <f>SUMIF('Work items'!$B$6:$B$65,$A$47,'Work items'!$O$6:$O$65)</f>
        <v/>
      </c>
      <c r="E47" s="14">
        <f>SUMIF('Work items'!$B$6:$B$65,$A$47,'Work items'!$P$6:$P$65)</f>
        <v/>
      </c>
    </row>
    <row r="48">
      <c r="A48" s="4" t="inlineStr">
        <is>
          <t>M4</t>
        </is>
      </c>
      <c r="B48" s="14">
        <f>SUMIF('Work items'!$B$6:$B$65,$A$48,'Work items'!$M$6:$M$65)</f>
        <v/>
      </c>
      <c r="C48" s="14">
        <f>SUMIF('Work items'!$B$6:$B$65,$A$48,'Work items'!$N$6:$N$65)</f>
        <v/>
      </c>
      <c r="D48" s="14">
        <f>SUMIF('Work items'!$B$6:$B$65,$A$48,'Work items'!$O$6:$O$65)</f>
        <v/>
      </c>
      <c r="E48" s="14">
        <f>SUMIF('Work items'!$B$6:$B$65,$A$48,'Work items'!$P$6:$P$65)</f>
        <v/>
      </c>
    </row>
    <row r="49">
      <c r="A49" s="4" t="inlineStr">
        <is>
          <t>M5</t>
        </is>
      </c>
      <c r="B49" s="14">
        <f>SUMIF('Work items'!$B$6:$B$65,$A$49,'Work items'!$M$6:$M$65)</f>
        <v/>
      </c>
      <c r="C49" s="14">
        <f>SUMIF('Work items'!$B$6:$B$65,$A$49,'Work items'!$N$6:$N$65)</f>
        <v/>
      </c>
      <c r="D49" s="14">
        <f>SUMIF('Work items'!$B$6:$B$65,$A$49,'Work items'!$O$6:$O$65)</f>
        <v/>
      </c>
      <c r="E49" s="14">
        <f>SUMIF('Work items'!$B$6:$B$65,$A$49,'Work items'!$P$6:$P$65)</f>
        <v/>
      </c>
    </row>
    <row r="60">
      <c r="A60" s="3" t="inlineStr">
        <is>
          <t>The shape of the work</t>
        </is>
      </c>
    </row>
    <row r="61" ht="30" customHeight="1">
      <c r="A61" s="10" t="inlineStr">
        <is>
          <t>Size</t>
        </is>
      </c>
      <c r="B61" s="10" t="inlineStr">
        <is>
          <t>Work items</t>
        </is>
      </c>
      <c r="C61" s="10" t="inlineStr">
        <is>
          <t>Days after AI assist</t>
        </is>
      </c>
    </row>
    <row r="62">
      <c r="A62" s="4" t="inlineStr">
        <is>
          <t>S</t>
        </is>
      </c>
      <c r="B62" s="15">
        <f>COUNTIF('Work items'!$E$6:$E$65,$A$62)</f>
        <v/>
      </c>
      <c r="C62" s="14">
        <f>SUMIF('Work items'!$E$6:$E$65,$A$62,'Work items'!$Q$6:$Q$65)</f>
        <v/>
      </c>
    </row>
    <row r="63">
      <c r="A63" s="4" t="inlineStr">
        <is>
          <t>M</t>
        </is>
      </c>
      <c r="B63" s="15">
        <f>COUNTIF('Work items'!$E$6:$E$65,$A$63)</f>
        <v/>
      </c>
      <c r="C63" s="14">
        <f>SUMIF('Work items'!$E$6:$E$65,$A$63,'Work items'!$Q$6:$Q$65)</f>
        <v/>
      </c>
    </row>
    <row r="64">
      <c r="A64" s="4" t="inlineStr">
        <is>
          <t>L</t>
        </is>
      </c>
      <c r="B64" s="15">
        <f>COUNTIF('Work items'!$E$6:$E$65,$A$64)</f>
        <v/>
      </c>
      <c r="C64" s="14">
        <f>SUMIF('Work items'!$E$6:$E$65,$A$64,'Work items'!$Q$6:$Q$65)</f>
        <v/>
      </c>
    </row>
    <row r="65">
      <c r="A65" s="4" t="inlineStr">
        <is>
          <t>XL</t>
        </is>
      </c>
      <c r="B65" s="15">
        <f>COUNTIF('Work items'!$E$6:$E$65,$A$65)</f>
        <v/>
      </c>
      <c r="C65" s="14">
        <f>SUMIF('Work items'!$E$6:$E$65,$A$65,'Work items'!$Q$6:$Q$65)</f>
        <v/>
      </c>
    </row>
    <row r="77">
      <c r="A77" s="3" t="inlineStr">
        <is>
          <t>Effort by workstream</t>
        </is>
      </c>
    </row>
    <row r="78" ht="30" customHeight="1">
      <c r="A78" s="10" t="inlineStr">
        <is>
          <t>Workstream</t>
        </is>
      </c>
      <c r="B78" s="10" t="inlineStr">
        <is>
          <t>Work items</t>
        </is>
      </c>
      <c r="C78" s="10" t="inlineStr">
        <is>
          <t>Days after AI assist</t>
        </is>
      </c>
    </row>
    <row r="79">
      <c r="A79" s="16" t="inlineStr">
        <is>
          <t>Contract</t>
        </is>
      </c>
      <c r="B79" s="15">
        <f>COUNTIF('Work items'!$C$6:$C$65,$A$79)</f>
        <v/>
      </c>
      <c r="C79" s="14">
        <f>SUMIF('Work items'!$C$6:$C$65,$A$79,'Work items'!$Q$6:$Q$65)</f>
        <v/>
      </c>
    </row>
    <row r="80">
      <c r="A80" s="16" t="inlineStr">
        <is>
          <t>Evaluation</t>
        </is>
      </c>
      <c r="B80" s="15">
        <f>COUNTIF('Work items'!$C$6:$C$65,$A$80)</f>
        <v/>
      </c>
      <c r="C80" s="14">
        <f>SUMIF('Work items'!$C$6:$C$65,$A$80,'Work items'!$Q$6:$Q$65)</f>
        <v/>
      </c>
    </row>
    <row r="81">
      <c r="A81" s="16" t="inlineStr">
        <is>
          <t>Connector</t>
        </is>
      </c>
      <c r="B81" s="15">
        <f>COUNTIF('Work items'!$C$6:$C$65,$A$81)</f>
        <v/>
      </c>
      <c r="C81" s="14">
        <f>SUMIF('Work items'!$C$6:$C$65,$A$81,'Work items'!$Q$6:$Q$65)</f>
        <v/>
      </c>
    </row>
    <row r="82">
      <c r="A82" s="16" t="inlineStr">
        <is>
          <t>Runtime</t>
        </is>
      </c>
      <c r="B82" s="15">
        <f>COUNTIF('Work items'!$C$6:$C$65,$A$82)</f>
        <v/>
      </c>
      <c r="C82" s="14">
        <f>SUMIF('Work items'!$C$6:$C$65,$A$82,'Work items'!$Q$6:$Q$65)</f>
        <v/>
      </c>
    </row>
    <row r="83">
      <c r="A83" s="16" t="inlineStr">
        <is>
          <t>Audit</t>
        </is>
      </c>
      <c r="B83" s="15">
        <f>COUNTIF('Work items'!$C$6:$C$65,$A$83)</f>
        <v/>
      </c>
      <c r="C83" s="14">
        <f>SUMIF('Work items'!$C$6:$C$65,$A$83,'Work items'!$Q$6:$Q$65)</f>
        <v/>
      </c>
    </row>
    <row r="84">
      <c r="A84" s="16" t="inlineStr">
        <is>
          <t>Observability</t>
        </is>
      </c>
      <c r="B84" s="15">
        <f>COUNTIF('Work items'!$C$6:$C$65,$A$84)</f>
        <v/>
      </c>
      <c r="C84" s="14">
        <f>SUMIF('Work items'!$C$6:$C$65,$A$84,'Work items'!$Q$6:$Q$65)</f>
        <v/>
      </c>
    </row>
    <row r="85">
      <c r="A85" s="16" t="inlineStr">
        <is>
          <t>Infrastructure</t>
        </is>
      </c>
      <c r="B85" s="15">
        <f>COUNTIF('Work items'!$C$6:$C$65,$A$85)</f>
        <v/>
      </c>
      <c r="C85" s="14">
        <f>SUMIF('Work items'!$C$6:$C$65,$A$85,'Work items'!$Q$6:$Q$65)</f>
        <v/>
      </c>
    </row>
    <row r="86">
      <c r="A86" s="16" t="inlineStr">
        <is>
          <t>Validation</t>
        </is>
      </c>
      <c r="B86" s="15">
        <f>COUNTIF('Work items'!$C$6:$C$65,$A$86)</f>
        <v/>
      </c>
      <c r="C86" s="14">
        <f>SUMIF('Work items'!$C$6:$C$65,$A$86,'Work items'!$Q$6:$Q$65)</f>
        <v/>
      </c>
    </row>
    <row r="87">
      <c r="A87" s="16" t="inlineStr">
        <is>
          <t>Packaging</t>
        </is>
      </c>
      <c r="B87" s="15">
        <f>COUNTIF('Work items'!$C$6:$C$65,$A$87)</f>
        <v/>
      </c>
      <c r="C87" s="14">
        <f>SUMIF('Work items'!$C$6:$C$65,$A$87,'Work items'!$Q$6:$Q$65)</f>
        <v/>
      </c>
    </row>
    <row r="88">
      <c r="A88" s="16" t="inlineStr">
        <is>
          <t>Control plane</t>
        </is>
      </c>
      <c r="B88" s="15">
        <f>COUNTIF('Work items'!$C$6:$C$65,$A$88)</f>
        <v/>
      </c>
      <c r="C88" s="14">
        <f>SUMIF('Work items'!$C$6:$C$65,$A$88,'Work items'!$Q$6:$Q$65)</f>
        <v/>
      </c>
    </row>
    <row r="89">
      <c r="A89" s="16" t="inlineStr">
        <is>
          <t>Security</t>
        </is>
      </c>
      <c r="B89" s="15">
        <f>COUNTIF('Work items'!$C$6:$C$65,$A$89)</f>
        <v/>
      </c>
      <c r="C89" s="14">
        <f>SUMIF('Work items'!$C$6:$C$65,$A$89,'Work items'!$Q$6:$Q$65)</f>
        <v/>
      </c>
    </row>
    <row r="90">
      <c r="A90" s="16" t="inlineStr">
        <is>
          <t>Gateway</t>
        </is>
      </c>
      <c r="B90" s="15">
        <f>COUNTIF('Work items'!$C$6:$C$65,$A$90)</f>
        <v/>
      </c>
      <c r="C90" s="14">
        <f>SUMIF('Work items'!$C$6:$C$65,$A$90,'Work items'!$Q$6:$Q$65)</f>
        <v/>
      </c>
    </row>
    <row r="91">
      <c r="A91" s="16" t="inlineStr">
        <is>
          <t>Operability</t>
        </is>
      </c>
      <c r="B91" s="15">
        <f>COUNTIF('Work items'!$C$6:$C$65,$A$91)</f>
        <v/>
      </c>
      <c r="C91" s="14">
        <f>SUMIF('Work items'!$C$6:$C$65,$A$91,'Work items'!$Q$6:$Q$65)</f>
        <v/>
      </c>
    </row>
    <row r="92">
      <c r="A92" s="16" t="inlineStr">
        <is>
          <t>Governance</t>
        </is>
      </c>
      <c r="B92" s="15">
        <f>COUNTIF('Work items'!$C$6:$C$65,$A$92)</f>
        <v/>
      </c>
      <c r="C92" s="14">
        <f>SUMIF('Work items'!$C$6:$C$65,$A$92,'Work items'!$Q$6:$Q$65)</f>
        <v/>
      </c>
    </row>
    <row r="93">
      <c r="A93" s="16" t="inlineStr">
        <is>
          <t>Integration</t>
        </is>
      </c>
      <c r="B93" s="15">
        <f>COUNTIF('Work items'!$C$6:$C$65,$A$93)</f>
        <v/>
      </c>
      <c r="C93" s="14">
        <f>SUMIF('Work items'!$C$6:$C$65,$A$93,'Work items'!$Q$6:$Q$65)</f>
        <v/>
      </c>
    </row>
  </sheetData>
  <mergeCells count="19">
    <mergeCell ref="C6:D6"/>
    <mergeCell ref="C5:D5"/>
    <mergeCell ref="E5:F5"/>
    <mergeCell ref="A1:H1"/>
    <mergeCell ref="A26:F26"/>
    <mergeCell ref="A6:B6"/>
    <mergeCell ref="A7:B7"/>
    <mergeCell ref="G7:H7"/>
    <mergeCell ref="G6:H6"/>
    <mergeCell ref="A43:F43"/>
    <mergeCell ref="E6:F6"/>
    <mergeCell ref="A2:H2"/>
    <mergeCell ref="A9:F9"/>
    <mergeCell ref="A5:B5"/>
    <mergeCell ref="G5:H5"/>
    <mergeCell ref="A77:F77"/>
    <mergeCell ref="C7:D7"/>
    <mergeCell ref="A60:F60"/>
    <mergeCell ref="E7:F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4" customWidth="1" min="1" max="1"/>
    <col width="26" customWidth="1" min="2" max="2"/>
    <col width="16" customWidth="1" min="3" max="3"/>
    <col width="62" customWidth="1" min="4" max="4"/>
    <col width="20" customWidth="1" min="5" max="5"/>
    <col width="20" customWidth="1" min="6" max="6"/>
  </cols>
  <sheetData>
    <row r="1">
      <c r="A1" s="1" t="inlineStr">
        <is>
          <t>Assumptions — the only sheet you edit</t>
        </is>
      </c>
    </row>
    <row r="2" ht="18" customHeight="1">
      <c r="A2" s="2" t="inlineStr">
        <is>
          <t>Everything else in this workbook is either transcribed from the documentation or computed from what is here.</t>
        </is>
      </c>
    </row>
    <row r="4" ht="18" customHeight="1">
      <c r="A4" s="17" t="inlineStr">
        <is>
          <t>The person-day values below are PLACEHOLDERS chosen so the model runs. No effort estimate exists upstream. Replace them before quoting any total.</t>
        </is>
      </c>
    </row>
    <row r="7" ht="30" customHeight="1">
      <c r="A7" s="10" t="inlineStr">
        <is>
          <t>Size</t>
        </is>
      </c>
      <c r="B7" s="10" t="inlineStr">
        <is>
          <t>Label</t>
        </is>
      </c>
      <c r="C7" s="10" t="inlineStr">
        <is>
          <t>Person-days (unassisted)</t>
        </is>
      </c>
      <c r="D7" s="10" t="inlineStr">
        <is>
          <t>What it means</t>
        </is>
      </c>
      <c r="E7" s="10" t="inlineStr"/>
      <c r="F7" s="10" t="inlineStr"/>
    </row>
    <row r="8">
      <c r="A8" s="8" t="inlineStr">
        <is>
          <t>S</t>
        </is>
      </c>
      <c r="B8" s="16" t="inlineStr">
        <is>
          <t>Small</t>
        </is>
      </c>
      <c r="C8" s="18" t="n">
        <v>5</v>
      </c>
      <c r="D8" s="16" t="inlineStr">
        <is>
          <t>A bounded change inside one component.</t>
        </is>
      </c>
    </row>
    <row r="9">
      <c r="A9" s="8" t="inlineStr">
        <is>
          <t>M</t>
        </is>
      </c>
      <c r="B9" s="16" t="inlineStr">
        <is>
          <t>Medium</t>
        </is>
      </c>
      <c r="C9" s="18" t="n">
        <v>15</v>
      </c>
      <c r="D9" s="16" t="inlineStr">
        <is>
          <t>One component, built and tested.</t>
        </is>
      </c>
    </row>
    <row r="10">
      <c r="A10" s="8" t="inlineStr">
        <is>
          <t>L</t>
        </is>
      </c>
      <c r="B10" s="16" t="inlineStr">
        <is>
          <t>Large</t>
        </is>
      </c>
      <c r="C10" s="18" t="n">
        <v>40</v>
      </c>
      <c r="D10" s="16" t="inlineStr">
        <is>
          <t>A subsystem, or a contract surface with published semantics.</t>
        </is>
      </c>
    </row>
    <row r="11">
      <c r="A11" s="8" t="inlineStr">
        <is>
          <t>XL</t>
        </is>
      </c>
      <c r="B11" s="16" t="inlineStr">
        <is>
          <t>Extra large</t>
        </is>
      </c>
      <c r="C11" s="18" t="n">
        <v>80</v>
      </c>
      <c r="D11" s="16" t="inlineStr">
        <is>
          <t>A subsystem of a kind this platform has not built before.</t>
        </is>
      </c>
    </row>
    <row r="14" ht="30" customHeight="1">
      <c r="A14" s="10" t="inlineStr">
        <is>
          <t>Role</t>
        </is>
      </c>
      <c r="B14" s="10" t="inlineStr">
        <is>
          <t>Name</t>
        </is>
      </c>
      <c r="C14" s="10" t="inlineStr">
        <is>
          <t>Day rate</t>
        </is>
      </c>
      <c r="D14" s="10" t="inlineStr">
        <is>
          <t>Mandate</t>
        </is>
      </c>
      <c r="E14" s="10" t="inlineStr"/>
      <c r="F14" s="10" t="inlineStr"/>
    </row>
    <row r="15">
      <c r="A15" s="8" t="inlineStr">
        <is>
          <t>AIG</t>
        </is>
      </c>
      <c r="B15" s="16" t="inlineStr">
        <is>
          <t>AI Guardrails team</t>
        </is>
      </c>
      <c r="C15" s="19" t="n"/>
      <c r="D15" s="16" t="inlineStr">
        <is>
          <t>Architecture, policy schemas, evaluation contract, runtime, connectors, integrations, compatibility, telemetry, documentation, deployment artifacts</t>
        </is>
      </c>
    </row>
    <row r="16">
      <c r="A16" s="8" t="inlineStr">
        <is>
          <t>OPS</t>
        </is>
      </c>
      <c r="B16" s="16" t="inlineStr">
        <is>
          <t>Platform operations</t>
        </is>
      </c>
      <c r="C16" s="19" t="n"/>
      <c r="D16" s="16" t="inlineStr">
        <is>
          <t>The provider's own hosted infrastructure day to day — deployment, monitoring, capacity, networking, incident response</t>
        </is>
      </c>
    </row>
    <row r="17">
      <c r="A17" s="8" t="inlineStr">
        <is>
          <t>SEC</t>
        </is>
      </c>
      <c r="B17" s="16" t="inlineStr">
        <is>
          <t>Security and governance</t>
        </is>
      </c>
      <c r="C17" s="19" t="n"/>
      <c r="D17" s="16" t="inlineStr">
        <is>
          <t>Organization-level policy requirements; approves policy, risk, retention and audit rules</t>
        </is>
      </c>
    </row>
    <row r="18">
      <c r="A18" s="8" t="inlineStr">
        <is>
          <t>CONS</t>
        </is>
      </c>
      <c r="B18" s="16" t="inlineStr">
        <is>
          <t>Consuming teams</t>
        </is>
      </c>
      <c r="C18" s="19" t="n"/>
      <c r="D18" s="16" t="inlineStr">
        <is>
          <t>Applications and workloads bound to policies, including any internal gateway they operate themselves</t>
        </is>
      </c>
    </row>
    <row r="21">
      <c r="A21" s="4" t="inlineStr">
        <is>
          <t>Contingency</t>
        </is>
      </c>
      <c r="B21" s="16" t="inlineStr">
        <is>
          <t>Applied to every work item</t>
        </is>
      </c>
      <c r="C21" s="20" t="n">
        <v>0</v>
      </c>
      <c r="D21" s="16" t="inlineStr">
        <is>
          <t>One uplift across the whole model. Zero by default — inventing a contingency figure on your behalf would defeat the point of this sheet. Sensitivity shows the range.</t>
        </is>
      </c>
    </row>
    <row r="23" ht="30" customHeight="1">
      <c r="A23" s="10" t="inlineStr">
        <is>
          <t>Role</t>
        </is>
      </c>
      <c r="B23" s="10" t="inlineStr">
        <is>
          <t>AI assist</t>
        </is>
      </c>
      <c r="C23" s="10" t="inlineStr">
        <is>
          <t>Effort reduction</t>
        </is>
      </c>
      <c r="D23" s="10" t="inlineStr">
        <is>
          <t>Why this figure and not another</t>
        </is>
      </c>
      <c r="E23" s="10" t="inlineStr"/>
      <c r="F23" s="10" t="inlineStr"/>
    </row>
    <row r="24">
      <c r="A24" s="8" t="inlineStr">
        <is>
          <t>AIG</t>
        </is>
      </c>
      <c r="B24" s="16" t="inlineStr">
        <is>
          <t>AI Guardrails team</t>
        </is>
      </c>
      <c r="C24" s="20" t="n">
        <v>0.3</v>
      </c>
      <c r="D24" s="16" t="inlineStr">
        <is>
          <t>Contracts, policy schemas, evaluator adapters, connectors, runtime, deployment artifacts, tests and documentation — greenfield, well-specified, code-shaped work, and by far the largest share of this model. This is where an agentic coding tool earns most of what it is going to earn.</t>
        </is>
      </c>
    </row>
    <row r="25">
      <c r="A25" s="8" t="inlineStr">
        <is>
          <t>OPS</t>
        </is>
      </c>
      <c r="B25" s="16" t="inlineStr">
        <is>
          <t>Platform operations</t>
        </is>
      </c>
      <c r="C25" s="20" t="n">
        <v>0.15</v>
      </c>
      <c r="D25" s="16" t="inlineStr">
        <is>
          <t>Infrastructure modules, dashboards and runbooks compress. Account provisioning, managed-engine access in the target Regions, capacity and incident response are approval-bound and wall-clock, and do not.</t>
        </is>
      </c>
    </row>
    <row r="26">
      <c r="A26" s="8" t="inlineStr">
        <is>
          <t>SEC</t>
        </is>
      </c>
      <c r="B26" s="16" t="inlineStr">
        <is>
          <t>Security and governance</t>
        </is>
      </c>
      <c r="C26" s="20" t="n">
        <v>0.1</v>
      </c>
      <c r="D26" s="16" t="inlineStr">
        <is>
          <t>Drafting policy requirements and assembling review evidence compresses. Judgement, approval and accountability do not — and the criteria that would satisfy security sign-off are themselves undefined today.</t>
        </is>
      </c>
    </row>
    <row r="27">
      <c r="A27" s="8" t="inlineStr">
        <is>
          <t>CONS</t>
        </is>
      </c>
      <c r="B27" s="16" t="inlineStr">
        <is>
          <t>Consuming teams</t>
        </is>
      </c>
      <c r="C27" s="20" t="n">
        <v>0.1</v>
      </c>
      <c r="D27" s="16" t="inlineStr">
        <is>
          <t>Onboarding and connector installation compress a little. The validation demonstration is gated by a second team's availability and willingness, which no tool shortens.</t>
        </is>
      </c>
    </row>
    <row r="29" ht="32" customHeight="1">
      <c r="A29" s="7" t="inlineStr">
        <is>
          <t>Planning assumptions, not measurements. Published results range from large gains to none, and one controlled trial found experienced engineers slower. Zero these four cells and the workbook recovers the unassisted model.</t>
        </is>
      </c>
    </row>
    <row r="30" ht="18" customHeight="1">
      <c r="A30" s="7" t="inlineStr">
        <is>
          <t>Day rates ship empty on purpose: with no rate set, every cost column stays blank rather than computing a zero that could pass for a real figure.</t>
        </is>
      </c>
    </row>
  </sheetData>
  <mergeCells count="5">
    <mergeCell ref="A2:F2"/>
    <mergeCell ref="A1:F1"/>
    <mergeCell ref="A4:F4"/>
    <mergeCell ref="A30:F30"/>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6"/>
  <sheetViews>
    <sheetView showGridLines="0" workbookViewId="0">
      <pane ySplit="5" topLeftCell="A6" activePane="bottomLeft" state="frozen"/>
      <selection pane="bottomLeft" activeCell="A1" sqref="A1"/>
    </sheetView>
  </sheetViews>
  <sheetFormatPr baseColWidth="8" defaultRowHeight="15"/>
  <cols>
    <col width="10" customWidth="1" min="1" max="1"/>
    <col width="11" customWidth="1" min="2" max="2"/>
    <col width="15" customWidth="1" min="3" max="3"/>
    <col width="62" customWidth="1" min="4" max="4"/>
    <col width="8" customWidth="1" min="5" max="5"/>
    <col width="11" customWidth="1" min="6" max="6"/>
    <col width="13" customWidth="1" min="7" max="7"/>
    <col width="9" customWidth="1" min="8" max="8"/>
    <col width="9" customWidth="1" min="9" max="9"/>
    <col width="9" customWidth="1" min="10" max="10"/>
    <col width="9" customWidth="1" min="11" max="11"/>
    <col width="10" customWidth="1" min="12" max="12"/>
    <col width="10" customWidth="1" min="13" max="13"/>
    <col width="10" customWidth="1" min="14" max="14"/>
    <col width="10" customWidth="1" min="15" max="15"/>
    <col width="10" customWidth="1" min="16" max="16"/>
    <col width="13" customWidth="1" min="17" max="17"/>
  </cols>
  <sheetData>
    <row r="1">
      <c r="A1" s="1" t="inlineStr">
        <is>
          <t>Work items</t>
        </is>
      </c>
    </row>
    <row r="2" ht="18" customHeight="1">
      <c r="A2" s="2" t="inlineStr">
        <is>
          <t>One row per milestone completion criterion, in document order. Size and role split are yours to edit; everything shaded blue is a formula. Filter from the header row.</t>
        </is>
      </c>
    </row>
    <row r="5" ht="30" customHeight="1">
      <c r="A5" s="10" t="inlineStr">
        <is>
          <t>ID</t>
        </is>
      </c>
      <c r="B5" s="10" t="inlineStr">
        <is>
          <t>Milestone</t>
        </is>
      </c>
      <c r="C5" s="10" t="inlineStr">
        <is>
          <t>Workstream</t>
        </is>
      </c>
      <c r="D5" s="10" t="inlineStr">
        <is>
          <t>Work item</t>
        </is>
      </c>
      <c r="E5" s="10" t="inlineStr">
        <is>
          <t>Size</t>
        </is>
      </c>
      <c r="F5" s="10" t="inlineStr">
        <is>
          <t>Base days</t>
        </is>
      </c>
      <c r="G5" s="10" t="inlineStr">
        <is>
          <t>Days incl. cont. (unassisted)</t>
        </is>
      </c>
      <c r="H5" s="10" t="inlineStr">
        <is>
          <t>AIG share</t>
        </is>
      </c>
      <c r="I5" s="10" t="inlineStr">
        <is>
          <t>OPS share</t>
        </is>
      </c>
      <c r="J5" s="10" t="inlineStr">
        <is>
          <t>SEC share</t>
        </is>
      </c>
      <c r="K5" s="10" t="inlineStr">
        <is>
          <t>CONS share</t>
        </is>
      </c>
      <c r="L5" s="10" t="inlineStr">
        <is>
          <t>Share Σ</t>
        </is>
      </c>
      <c r="M5" s="10" t="inlineStr">
        <is>
          <t>AIG days</t>
        </is>
      </c>
      <c r="N5" s="10" t="inlineStr">
        <is>
          <t>OPS days</t>
        </is>
      </c>
      <c r="O5" s="10" t="inlineStr">
        <is>
          <t>SEC days</t>
        </is>
      </c>
      <c r="P5" s="10" t="inlineStr">
        <is>
          <t>CONS days</t>
        </is>
      </c>
      <c r="Q5" s="10" t="inlineStr">
        <is>
          <t>Days after AI assist</t>
        </is>
      </c>
    </row>
    <row r="6">
      <c r="A6" s="4" t="inlineStr">
        <is>
          <t>WI-001</t>
        </is>
      </c>
      <c r="B6" s="21" t="inlineStr">
        <is>
          <t>M1</t>
        </is>
      </c>
      <c r="C6" s="16" t="inlineStr">
        <is>
          <t>Contract</t>
        </is>
      </c>
      <c r="D6" s="16" t="inlineStr">
        <is>
          <t>Evaluation contract defined and published — request structure, decision structure, reason codes, policy-version semantics, expressed independently of any gateway or vendor</t>
        </is>
      </c>
      <c r="E6" s="22" t="inlineStr">
        <is>
          <t>L</t>
        </is>
      </c>
      <c r="F6" s="14">
        <f>VLOOKUP($E6,Assumptions!$A$8:$C$11,3,FALSE)</f>
        <v/>
      </c>
      <c r="G6" s="14">
        <f>$F6*(1+Assumptions!$C$21)</f>
        <v/>
      </c>
      <c r="H6" s="20" t="n">
        <v>1</v>
      </c>
      <c r="I6" s="20" t="n">
        <v>0</v>
      </c>
      <c r="J6" s="20" t="n">
        <v>0</v>
      </c>
      <c r="K6" s="20" t="n">
        <v>0</v>
      </c>
      <c r="L6" s="23">
        <f>SUM(H6:K6)</f>
        <v/>
      </c>
      <c r="M6" s="14">
        <f>$G6*H6*(1-Assumptions!$C$24)</f>
        <v/>
      </c>
      <c r="N6" s="14">
        <f>$G6*I6*(1-Assumptions!$C$25)</f>
        <v/>
      </c>
      <c r="O6" s="14">
        <f>$G6*J6*(1-Assumptions!$C$26)</f>
        <v/>
      </c>
      <c r="P6" s="14">
        <f>$G6*K6*(1-Assumptions!$C$27)</f>
        <v/>
      </c>
      <c r="Q6" s="24">
        <f>SUM(M6:P6)</f>
        <v/>
      </c>
    </row>
    <row r="7">
      <c r="A7" s="25" t="inlineStr">
        <is>
          <t>WI-002</t>
        </is>
      </c>
      <c r="B7" s="26" t="inlineStr">
        <is>
          <t>M1</t>
        </is>
      </c>
      <c r="C7" s="27" t="inlineStr">
        <is>
          <t>Contract</t>
        </is>
      </c>
      <c r="D7" s="27" t="inlineStr">
        <is>
          <t>Guardrail policy format defined as a versioned, vendor-independent schema</t>
        </is>
      </c>
      <c r="E7" s="22" t="inlineStr">
        <is>
          <t>L</t>
        </is>
      </c>
      <c r="F7" s="14">
        <f>VLOOKUP($E7,Assumptions!$A$8:$C$11,3,FALSE)</f>
        <v/>
      </c>
      <c r="G7" s="14">
        <f>$F7*(1+Assumptions!$C$21)</f>
        <v/>
      </c>
      <c r="H7" s="20" t="n">
        <v>1</v>
      </c>
      <c r="I7" s="20" t="n">
        <v>0</v>
      </c>
      <c r="J7" s="20" t="n">
        <v>0</v>
      </c>
      <c r="K7" s="20" t="n">
        <v>0</v>
      </c>
      <c r="L7" s="23">
        <f>SUM(H7:K7)</f>
        <v/>
      </c>
      <c r="M7" s="14">
        <f>$G7*H7*(1-Assumptions!$C$24)</f>
        <v/>
      </c>
      <c r="N7" s="14">
        <f>$G7*I7*(1-Assumptions!$C$25)</f>
        <v/>
      </c>
      <c r="O7" s="14">
        <f>$G7*J7*(1-Assumptions!$C$26)</f>
        <v/>
      </c>
      <c r="P7" s="14">
        <f>$G7*K7*(1-Assumptions!$C$27)</f>
        <v/>
      </c>
      <c r="Q7" s="24">
        <f>SUM(M7:P7)</f>
        <v/>
      </c>
    </row>
    <row r="8">
      <c r="A8" s="4" t="inlineStr">
        <is>
          <t>WI-003</t>
        </is>
      </c>
      <c r="B8" s="21" t="inlineStr">
        <is>
          <t>M1</t>
        </is>
      </c>
      <c r="C8" s="16" t="inlineStr">
        <is>
          <t>Evaluation</t>
        </is>
      </c>
      <c r="D8" s="16" t="inlineStr">
        <is>
          <t>Amazon Bedrock Guardrails adapter, normalizing vendor responses into the platform's own decision structure before they reach any policy or connector</t>
        </is>
      </c>
      <c r="E8" s="22" t="inlineStr">
        <is>
          <t>L</t>
        </is>
      </c>
      <c r="F8" s="14">
        <f>VLOOKUP($E8,Assumptions!$A$8:$C$11,3,FALSE)</f>
        <v/>
      </c>
      <c r="G8" s="14">
        <f>$F8*(1+Assumptions!$C$21)</f>
        <v/>
      </c>
      <c r="H8" s="20" t="n">
        <v>1</v>
      </c>
      <c r="I8" s="20" t="n">
        <v>0</v>
      </c>
      <c r="J8" s="20" t="n">
        <v>0</v>
      </c>
      <c r="K8" s="20" t="n">
        <v>0</v>
      </c>
      <c r="L8" s="23">
        <f>SUM(H8:K8)</f>
        <v/>
      </c>
      <c r="M8" s="14">
        <f>$G8*H8*(1-Assumptions!$C$24)</f>
        <v/>
      </c>
      <c r="N8" s="14">
        <f>$G8*I8*(1-Assumptions!$C$25)</f>
        <v/>
      </c>
      <c r="O8" s="14">
        <f>$G8*J8*(1-Assumptions!$C$26)</f>
        <v/>
      </c>
      <c r="P8" s="14">
        <f>$G8*K8*(1-Assumptions!$C$27)</f>
        <v/>
      </c>
      <c r="Q8" s="24">
        <f>SUM(M8:P8)</f>
        <v/>
      </c>
    </row>
    <row r="9">
      <c r="A9" s="25" t="inlineStr">
        <is>
          <t>WI-004</t>
        </is>
      </c>
      <c r="B9" s="26" t="inlineStr">
        <is>
          <t>M1</t>
        </is>
      </c>
      <c r="C9" s="27" t="inlineStr">
        <is>
          <t>Evaluation</t>
        </is>
      </c>
      <c r="D9" s="27" t="inlineStr">
        <is>
          <t>Basic deterministic evaluator behind the same evaluator-adapter pattern</t>
        </is>
      </c>
      <c r="E9" s="22" t="inlineStr">
        <is>
          <t>M</t>
        </is>
      </c>
      <c r="F9" s="14">
        <f>VLOOKUP($E9,Assumptions!$A$8:$C$11,3,FALSE)</f>
        <v/>
      </c>
      <c r="G9" s="14">
        <f>$F9*(1+Assumptions!$C$21)</f>
        <v/>
      </c>
      <c r="H9" s="20" t="n">
        <v>1</v>
      </c>
      <c r="I9" s="20" t="n">
        <v>0</v>
      </c>
      <c r="J9" s="20" t="n">
        <v>0</v>
      </c>
      <c r="K9" s="20" t="n">
        <v>0</v>
      </c>
      <c r="L9" s="23">
        <f>SUM(H9:K9)</f>
        <v/>
      </c>
      <c r="M9" s="14">
        <f>$G9*H9*(1-Assumptions!$C$24)</f>
        <v/>
      </c>
      <c r="N9" s="14">
        <f>$G9*I9*(1-Assumptions!$C$25)</f>
        <v/>
      </c>
      <c r="O9" s="14">
        <f>$G9*J9*(1-Assumptions!$C$26)</f>
        <v/>
      </c>
      <c r="P9" s="14">
        <f>$G9*K9*(1-Assumptions!$C$27)</f>
        <v/>
      </c>
      <c r="Q9" s="24">
        <f>SUM(M9:P9)</f>
        <v/>
      </c>
    </row>
    <row r="10">
      <c r="A10" s="4" t="inlineStr">
        <is>
          <t>WI-005</t>
        </is>
      </c>
      <c r="B10" s="21" t="inlineStr">
        <is>
          <t>M1</t>
        </is>
      </c>
      <c r="C10" s="16" t="inlineStr">
        <is>
          <t>Connector</t>
        </is>
      </c>
      <c r="D10" s="16" t="inlineStr">
        <is>
          <t>LiteLLM pre-call connector, invoking input evaluation before model invocation</t>
        </is>
      </c>
      <c r="E10" s="22" t="inlineStr">
        <is>
          <t>L</t>
        </is>
      </c>
      <c r="F10" s="14">
        <f>VLOOKUP($E10,Assumptions!$A$8:$C$11,3,FALSE)</f>
        <v/>
      </c>
      <c r="G10" s="14">
        <f>$F10*(1+Assumptions!$C$21)</f>
        <v/>
      </c>
      <c r="H10" s="20" t="n">
        <v>1</v>
      </c>
      <c r="I10" s="20" t="n">
        <v>0</v>
      </c>
      <c r="J10" s="20" t="n">
        <v>0</v>
      </c>
      <c r="K10" s="20" t="n">
        <v>0</v>
      </c>
      <c r="L10" s="23">
        <f>SUM(H10:K10)</f>
        <v/>
      </c>
      <c r="M10" s="14">
        <f>$G10*H10*(1-Assumptions!$C$24)</f>
        <v/>
      </c>
      <c r="N10" s="14">
        <f>$G10*I10*(1-Assumptions!$C$25)</f>
        <v/>
      </c>
      <c r="O10" s="14">
        <f>$G10*J10*(1-Assumptions!$C$26)</f>
        <v/>
      </c>
      <c r="P10" s="14">
        <f>$G10*K10*(1-Assumptions!$C$27)</f>
        <v/>
      </c>
      <c r="Q10" s="24">
        <f>SUM(M10:P10)</f>
        <v/>
      </c>
    </row>
    <row r="11">
      <c r="A11" s="25" t="inlineStr">
        <is>
          <t>WI-006</t>
        </is>
      </c>
      <c r="B11" s="26" t="inlineStr">
        <is>
          <t>M1</t>
        </is>
      </c>
      <c r="C11" s="27" t="inlineStr">
        <is>
          <t>Connector</t>
        </is>
      </c>
      <c r="D11" s="27" t="inlineStr">
        <is>
          <t>LiteLLM post-call connector, invoking output evaluation and applying safe output fallbacks</t>
        </is>
      </c>
      <c r="E11" s="22" t="inlineStr">
        <is>
          <t>L</t>
        </is>
      </c>
      <c r="F11" s="14">
        <f>VLOOKUP($E11,Assumptions!$A$8:$C$11,3,FALSE)</f>
        <v/>
      </c>
      <c r="G11" s="14">
        <f>$F11*(1+Assumptions!$C$21)</f>
        <v/>
      </c>
      <c r="H11" s="20" t="n">
        <v>1</v>
      </c>
      <c r="I11" s="20" t="n">
        <v>0</v>
      </c>
      <c r="J11" s="20" t="n">
        <v>0</v>
      </c>
      <c r="K11" s="20" t="n">
        <v>0</v>
      </c>
      <c r="L11" s="23">
        <f>SUM(H11:K11)</f>
        <v/>
      </c>
      <c r="M11" s="14">
        <f>$G11*H11*(1-Assumptions!$C$24)</f>
        <v/>
      </c>
      <c r="N11" s="14">
        <f>$G11*I11*(1-Assumptions!$C$25)</f>
        <v/>
      </c>
      <c r="O11" s="14">
        <f>$G11*J11*(1-Assumptions!$C$26)</f>
        <v/>
      </c>
      <c r="P11" s="14">
        <f>$G11*K11*(1-Assumptions!$C$27)</f>
        <v/>
      </c>
      <c r="Q11" s="24">
        <f>SUM(M11:P11)</f>
        <v/>
      </c>
    </row>
    <row r="12">
      <c r="A12" s="4" t="inlineStr">
        <is>
          <t>WI-007</t>
        </is>
      </c>
      <c r="B12" s="21" t="inlineStr">
        <is>
          <t>M1</t>
        </is>
      </c>
      <c r="C12" s="16" t="inlineStr">
        <is>
          <t>Connector</t>
        </is>
      </c>
      <c r="D12" s="16" t="inlineStr">
        <is>
          <t>Conformance: connectors invoke the Evaluation API only — no policy logic, thresholds or detection rules embedded</t>
        </is>
      </c>
      <c r="E12" s="22" t="inlineStr">
        <is>
          <t>S</t>
        </is>
      </c>
      <c r="F12" s="14">
        <f>VLOOKUP($E12,Assumptions!$A$8:$C$11,3,FALSE)</f>
        <v/>
      </c>
      <c r="G12" s="14">
        <f>$F12*(1+Assumptions!$C$21)</f>
        <v/>
      </c>
      <c r="H12" s="20" t="n">
        <v>0.8</v>
      </c>
      <c r="I12" s="20" t="n">
        <v>0</v>
      </c>
      <c r="J12" s="20" t="n">
        <v>0.2</v>
      </c>
      <c r="K12" s="20" t="n">
        <v>0</v>
      </c>
      <c r="L12" s="23">
        <f>SUM(H12:K12)</f>
        <v/>
      </c>
      <c r="M12" s="14">
        <f>$G12*H12*(1-Assumptions!$C$24)</f>
        <v/>
      </c>
      <c r="N12" s="14">
        <f>$G12*I12*(1-Assumptions!$C$25)</f>
        <v/>
      </c>
      <c r="O12" s="14">
        <f>$G12*J12*(1-Assumptions!$C$26)</f>
        <v/>
      </c>
      <c r="P12" s="14">
        <f>$G12*K12*(1-Assumptions!$C$27)</f>
        <v/>
      </c>
      <c r="Q12" s="24">
        <f>SUM(M12:P12)</f>
        <v/>
      </c>
    </row>
    <row r="13">
      <c r="A13" s="25" t="inlineStr">
        <is>
          <t>WI-008</t>
        </is>
      </c>
      <c r="B13" s="26" t="inlineStr">
        <is>
          <t>M1</t>
        </is>
      </c>
      <c r="C13" s="27" t="inlineStr">
        <is>
          <t>Runtime</t>
        </is>
      </c>
      <c r="D13" s="27" t="inlineStr">
        <is>
          <t>Observe mode implemented and made the default state for a new policy binding</t>
        </is>
      </c>
      <c r="E13" s="22" t="inlineStr">
        <is>
          <t>M</t>
        </is>
      </c>
      <c r="F13" s="14">
        <f>VLOOKUP($E13,Assumptions!$A$8:$C$11,3,FALSE)</f>
        <v/>
      </c>
      <c r="G13" s="14">
        <f>$F13*(1+Assumptions!$C$21)</f>
        <v/>
      </c>
      <c r="H13" s="20" t="n">
        <v>1</v>
      </c>
      <c r="I13" s="20" t="n">
        <v>0</v>
      </c>
      <c r="J13" s="20" t="n">
        <v>0</v>
      </c>
      <c r="K13" s="20" t="n">
        <v>0</v>
      </c>
      <c r="L13" s="23">
        <f>SUM(H13:K13)</f>
        <v/>
      </c>
      <c r="M13" s="14">
        <f>$G13*H13*(1-Assumptions!$C$24)</f>
        <v/>
      </c>
      <c r="N13" s="14">
        <f>$G13*I13*(1-Assumptions!$C$25)</f>
        <v/>
      </c>
      <c r="O13" s="14">
        <f>$G13*J13*(1-Assumptions!$C$26)</f>
        <v/>
      </c>
      <c r="P13" s="14">
        <f>$G13*K13*(1-Assumptions!$C$27)</f>
        <v/>
      </c>
      <c r="Q13" s="24">
        <f>SUM(M13:P13)</f>
        <v/>
      </c>
    </row>
    <row r="14">
      <c r="A14" s="4" t="inlineStr">
        <is>
          <t>WI-009</t>
        </is>
      </c>
      <c r="B14" s="21" t="inlineStr">
        <is>
          <t>M1</t>
        </is>
      </c>
      <c r="C14" s="16" t="inlineStr">
        <is>
          <t>Audit</t>
        </is>
      </c>
      <c r="D14" s="16" t="inlineStr">
        <is>
          <t>Basic auditing: decision metadata logged for every evaluation — tenant, workload, policy version, stage, decision, reason codes, evaluator versions, timestamp, correlation identifier, retention flag</t>
        </is>
      </c>
      <c r="E14" s="22" t="inlineStr">
        <is>
          <t>L</t>
        </is>
      </c>
      <c r="F14" s="14">
        <f>VLOOKUP($E14,Assumptions!$A$8:$C$11,3,FALSE)</f>
        <v/>
      </c>
      <c r="G14" s="14">
        <f>$F14*(1+Assumptions!$C$21)</f>
        <v/>
      </c>
      <c r="H14" s="20" t="n">
        <v>1</v>
      </c>
      <c r="I14" s="20" t="n">
        <v>0</v>
      </c>
      <c r="J14" s="20" t="n">
        <v>0</v>
      </c>
      <c r="K14" s="20" t="n">
        <v>0</v>
      </c>
      <c r="L14" s="23">
        <f>SUM(H14:K14)</f>
        <v/>
      </c>
      <c r="M14" s="14">
        <f>$G14*H14*(1-Assumptions!$C$24)</f>
        <v/>
      </c>
      <c r="N14" s="14">
        <f>$G14*I14*(1-Assumptions!$C$25)</f>
        <v/>
      </c>
      <c r="O14" s="14">
        <f>$G14*J14*(1-Assumptions!$C$26)</f>
        <v/>
      </c>
      <c r="P14" s="14">
        <f>$G14*K14*(1-Assumptions!$C$27)</f>
        <v/>
      </c>
      <c r="Q14" s="24">
        <f>SUM(M14:P14)</f>
        <v/>
      </c>
    </row>
    <row r="15">
      <c r="A15" s="25" t="inlineStr">
        <is>
          <t>WI-010</t>
        </is>
      </c>
      <c r="B15" s="26" t="inlineStr">
        <is>
          <t>M1</t>
        </is>
      </c>
      <c r="C15" s="27" t="inlineStr">
        <is>
          <t>Observability</t>
        </is>
      </c>
      <c r="D15" s="27" t="inlineStr">
        <is>
          <t>Evaluation latency measured per evaluation at P50, P95 and P99</t>
        </is>
      </c>
      <c r="E15" s="22" t="inlineStr">
        <is>
          <t>M</t>
        </is>
      </c>
      <c r="F15" s="14">
        <f>VLOOKUP($E15,Assumptions!$A$8:$C$11,3,FALSE)</f>
        <v/>
      </c>
      <c r="G15" s="14">
        <f>$F15*(1+Assumptions!$C$21)</f>
        <v/>
      </c>
      <c r="H15" s="20" t="n">
        <v>0.6</v>
      </c>
      <c r="I15" s="20" t="n">
        <v>0.4</v>
      </c>
      <c r="J15" s="20" t="n">
        <v>0</v>
      </c>
      <c r="K15" s="20" t="n">
        <v>0</v>
      </c>
      <c r="L15" s="23">
        <f>SUM(H15:K15)</f>
        <v/>
      </c>
      <c r="M15" s="14">
        <f>$G15*H15*(1-Assumptions!$C$24)</f>
        <v/>
      </c>
      <c r="N15" s="14">
        <f>$G15*I15*(1-Assumptions!$C$25)</f>
        <v/>
      </c>
      <c r="O15" s="14">
        <f>$G15*J15*(1-Assumptions!$C$26)</f>
        <v/>
      </c>
      <c r="P15" s="14">
        <f>$G15*K15*(1-Assumptions!$C$27)</f>
        <v/>
      </c>
      <c r="Q15" s="24">
        <f>SUM(M15:P15)</f>
        <v/>
      </c>
    </row>
    <row r="16">
      <c r="A16" s="4" t="inlineStr">
        <is>
          <t>WI-011</t>
        </is>
      </c>
      <c r="B16" s="21" t="inlineStr">
        <is>
          <t>M1</t>
        </is>
      </c>
      <c r="C16" s="16" t="inlineStr">
        <is>
          <t>Infrastructure</t>
        </is>
      </c>
      <c r="D16" s="16" t="inlineStr">
        <is>
          <t>Runtime deployed internally within the minimal account model — one non-production and one production account</t>
        </is>
      </c>
      <c r="E16" s="22" t="inlineStr">
        <is>
          <t>L</t>
        </is>
      </c>
      <c r="F16" s="14">
        <f>VLOOKUP($E16,Assumptions!$A$8:$C$11,3,FALSE)</f>
        <v/>
      </c>
      <c r="G16" s="14">
        <f>$F16*(1+Assumptions!$C$21)</f>
        <v/>
      </c>
      <c r="H16" s="20" t="n">
        <v>0.3</v>
      </c>
      <c r="I16" s="20" t="n">
        <v>0.7</v>
      </c>
      <c r="J16" s="20" t="n">
        <v>0</v>
      </c>
      <c r="K16" s="20" t="n">
        <v>0</v>
      </c>
      <c r="L16" s="23">
        <f>SUM(H16:K16)</f>
        <v/>
      </c>
      <c r="M16" s="14">
        <f>$G16*H16*(1-Assumptions!$C$24)</f>
        <v/>
      </c>
      <c r="N16" s="14">
        <f>$G16*I16*(1-Assumptions!$C$25)</f>
        <v/>
      </c>
      <c r="O16" s="14">
        <f>$G16*J16*(1-Assumptions!$C$26)</f>
        <v/>
      </c>
      <c r="P16" s="14">
        <f>$G16*K16*(1-Assumptions!$C$27)</f>
        <v/>
      </c>
      <c r="Q16" s="24">
        <f>SUM(M16:P16)</f>
        <v/>
      </c>
    </row>
    <row r="17">
      <c r="A17" s="25" t="inlineStr">
        <is>
          <t>WI-012</t>
        </is>
      </c>
      <c r="B17" s="26" t="inlineStr">
        <is>
          <t>M1</t>
        </is>
      </c>
      <c r="C17" s="27" t="inlineStr">
        <is>
          <t>Infrastructure</t>
        </is>
      </c>
      <c r="D17" s="27" t="inlineStr">
        <is>
          <t>TLS on all runtime communication between connectors, the Evaluation API and evaluation engines</t>
        </is>
      </c>
      <c r="E17" s="22" t="inlineStr">
        <is>
          <t>S</t>
        </is>
      </c>
      <c r="F17" s="14">
        <f>VLOOKUP($E17,Assumptions!$A$8:$C$11,3,FALSE)</f>
        <v/>
      </c>
      <c r="G17" s="14">
        <f>$F17*(1+Assumptions!$C$21)</f>
        <v/>
      </c>
      <c r="H17" s="20" t="n">
        <v>0.2</v>
      </c>
      <c r="I17" s="20" t="n">
        <v>0.6</v>
      </c>
      <c r="J17" s="20" t="n">
        <v>0.2</v>
      </c>
      <c r="K17" s="20" t="n">
        <v>0</v>
      </c>
      <c r="L17" s="23">
        <f>SUM(H17:K17)</f>
        <v/>
      </c>
      <c r="M17" s="14">
        <f>$G17*H17*(1-Assumptions!$C$24)</f>
        <v/>
      </c>
      <c r="N17" s="14">
        <f>$G17*I17*(1-Assumptions!$C$25)</f>
        <v/>
      </c>
      <c r="O17" s="14">
        <f>$G17*J17*(1-Assumptions!$C$26)</f>
        <v/>
      </c>
      <c r="P17" s="14">
        <f>$G17*K17*(1-Assumptions!$C$27)</f>
        <v/>
      </c>
      <c r="Q17" s="24">
        <f>SUM(M17:P17)</f>
        <v/>
      </c>
    </row>
    <row r="18">
      <c r="A18" s="4" t="inlineStr">
        <is>
          <t>WI-013</t>
        </is>
      </c>
      <c r="B18" s="21" t="inlineStr">
        <is>
          <t>M1</t>
        </is>
      </c>
      <c r="C18" s="16" t="inlineStr">
        <is>
          <t>Validation</t>
        </is>
      </c>
      <c r="D18" s="16" t="inlineStr">
        <is>
          <t>Two independently deployed instances resolve decisions from the same published policy version, neither transmitting provider credentials — MVP-01, MVP-02, MVP-03</t>
        </is>
      </c>
      <c r="E18" s="22" t="inlineStr">
        <is>
          <t>M</t>
        </is>
      </c>
      <c r="F18" s="14">
        <f>VLOOKUP($E18,Assumptions!$A$8:$C$11,3,FALSE)</f>
        <v/>
      </c>
      <c r="G18" s="14">
        <f>$F18*(1+Assumptions!$C$21)</f>
        <v/>
      </c>
      <c r="H18" s="20" t="n">
        <v>0.4</v>
      </c>
      <c r="I18" s="20" t="n">
        <v>0.2</v>
      </c>
      <c r="J18" s="20" t="n">
        <v>0</v>
      </c>
      <c r="K18" s="20" t="n">
        <v>0.4</v>
      </c>
      <c r="L18" s="23">
        <f>SUM(H18:K18)</f>
        <v/>
      </c>
      <c r="M18" s="14">
        <f>$G18*H18*(1-Assumptions!$C$24)</f>
        <v/>
      </c>
      <c r="N18" s="14">
        <f>$G18*I18*(1-Assumptions!$C$25)</f>
        <v/>
      </c>
      <c r="O18" s="14">
        <f>$G18*J18*(1-Assumptions!$C$26)</f>
        <v/>
      </c>
      <c r="P18" s="14">
        <f>$G18*K18*(1-Assumptions!$C$27)</f>
        <v/>
      </c>
      <c r="Q18" s="24">
        <f>SUM(M18:P18)</f>
        <v/>
      </c>
    </row>
    <row r="19">
      <c r="A19" s="25" t="inlineStr">
        <is>
          <t>WI-014</t>
        </is>
      </c>
      <c r="B19" s="26" t="inlineStr">
        <is>
          <t>M1</t>
        </is>
      </c>
      <c r="C19" s="27" t="inlineStr">
        <is>
          <t>Validation</t>
        </is>
      </c>
      <c r="D19" s="27" t="inlineStr">
        <is>
          <t>One of the two workloads runs in observe mode — MVP-04</t>
        </is>
      </c>
      <c r="E19" s="22" t="inlineStr">
        <is>
          <t>S</t>
        </is>
      </c>
      <c r="F19" s="14">
        <f>VLOOKUP($E19,Assumptions!$A$8:$C$11,3,FALSE)</f>
        <v/>
      </c>
      <c r="G19" s="14">
        <f>$F19*(1+Assumptions!$C$21)</f>
        <v/>
      </c>
      <c r="H19" s="20" t="n">
        <v>0.4</v>
      </c>
      <c r="I19" s="20" t="n">
        <v>0</v>
      </c>
      <c r="J19" s="20" t="n">
        <v>0</v>
      </c>
      <c r="K19" s="20" t="n">
        <v>0.6</v>
      </c>
      <c r="L19" s="23">
        <f>SUM(H19:K19)</f>
        <v/>
      </c>
      <c r="M19" s="14">
        <f>$G19*H19*(1-Assumptions!$C$24)</f>
        <v/>
      </c>
      <c r="N19" s="14">
        <f>$G19*I19*(1-Assumptions!$C$25)</f>
        <v/>
      </c>
      <c r="O19" s="14">
        <f>$G19*J19*(1-Assumptions!$C$26)</f>
        <v/>
      </c>
      <c r="P19" s="14">
        <f>$G19*K19*(1-Assumptions!$C$27)</f>
        <v/>
      </c>
      <c r="Q19" s="24">
        <f>SUM(M19:P19)</f>
        <v/>
      </c>
    </row>
    <row r="20">
      <c r="A20" s="4" t="inlineStr">
        <is>
          <t>WI-015</t>
        </is>
      </c>
      <c r="B20" s="21" t="inlineStr">
        <is>
          <t>M1</t>
        </is>
      </c>
      <c r="C20" s="16" t="inlineStr">
        <is>
          <t>Validation</t>
        </is>
      </c>
      <c r="D20" s="16" t="inlineStr">
        <is>
          <t>The other workload runs in enforce mode and a violation triggers the corresponding action on the request path — MVP-05</t>
        </is>
      </c>
      <c r="E20" s="22" t="inlineStr">
        <is>
          <t>S</t>
        </is>
      </c>
      <c r="F20" s="14">
        <f>VLOOKUP($E20,Assumptions!$A$8:$C$11,3,FALSE)</f>
        <v/>
      </c>
      <c r="G20" s="14">
        <f>$F20*(1+Assumptions!$C$21)</f>
        <v/>
      </c>
      <c r="H20" s="20" t="n">
        <v>0.3</v>
      </c>
      <c r="I20" s="20" t="n">
        <v>0</v>
      </c>
      <c r="J20" s="20" t="n">
        <v>0.2</v>
      </c>
      <c r="K20" s="20" t="n">
        <v>0.5</v>
      </c>
      <c r="L20" s="23">
        <f>SUM(H20:K20)</f>
        <v/>
      </c>
      <c r="M20" s="14">
        <f>$G20*H20*(1-Assumptions!$C$24)</f>
        <v/>
      </c>
      <c r="N20" s="14">
        <f>$G20*I20*(1-Assumptions!$C$25)</f>
        <v/>
      </c>
      <c r="O20" s="14">
        <f>$G20*J20*(1-Assumptions!$C$26)</f>
        <v/>
      </c>
      <c r="P20" s="14">
        <f>$G20*K20*(1-Assumptions!$C$27)</f>
        <v/>
      </c>
      <c r="Q20" s="24">
        <f>SUM(M20:P20)</f>
        <v/>
      </c>
    </row>
    <row r="21">
      <c r="A21" s="25" t="inlineStr">
        <is>
          <t>WI-016</t>
        </is>
      </c>
      <c r="B21" s="26" t="inlineStr">
        <is>
          <t>M1</t>
        </is>
      </c>
      <c r="C21" s="27" t="inlineStr">
        <is>
          <t>Validation</t>
        </is>
      </c>
      <c r="D21" s="27" t="inlineStr">
        <is>
          <t>Raw prompt and response persistence can be disabled and is verified absent from storage, caches and logs, with decision metadata still persisted — MVP-07</t>
        </is>
      </c>
      <c r="E21" s="22" t="inlineStr">
        <is>
          <t>M</t>
        </is>
      </c>
      <c r="F21" s="14">
        <f>VLOOKUP($E21,Assumptions!$A$8:$C$11,3,FALSE)</f>
        <v/>
      </c>
      <c r="G21" s="14">
        <f>$F21*(1+Assumptions!$C$21)</f>
        <v/>
      </c>
      <c r="H21" s="20" t="n">
        <v>0.3</v>
      </c>
      <c r="I21" s="20" t="n">
        <v>0.2</v>
      </c>
      <c r="J21" s="20" t="n">
        <v>0.5</v>
      </c>
      <c r="K21" s="20" t="n">
        <v>0</v>
      </c>
      <c r="L21" s="23">
        <f>SUM(H21:K21)</f>
        <v/>
      </c>
      <c r="M21" s="14">
        <f>$G21*H21*(1-Assumptions!$C$24)</f>
        <v/>
      </c>
      <c r="N21" s="14">
        <f>$G21*I21*(1-Assumptions!$C$25)</f>
        <v/>
      </c>
      <c r="O21" s="14">
        <f>$G21*J21*(1-Assumptions!$C$26)</f>
        <v/>
      </c>
      <c r="P21" s="14">
        <f>$G21*K21*(1-Assumptions!$C$27)</f>
        <v/>
      </c>
      <c r="Q21" s="24">
        <f>SUM(M21:P21)</f>
        <v/>
      </c>
    </row>
    <row r="22">
      <c r="A22" s="4" t="inlineStr">
        <is>
          <t>WI-017</t>
        </is>
      </c>
      <c r="B22" s="21" t="inlineStr">
        <is>
          <t>M1</t>
        </is>
      </c>
      <c r="C22" s="16" t="inlineStr">
        <is>
          <t>Validation</t>
        </is>
      </c>
      <c r="D22" s="16" t="inlineStr">
        <is>
          <t>A forced detector or Evaluation API failure executes the configured failure behavior exactly as configured, captured in the audit record — MVP-08</t>
        </is>
      </c>
      <c r="E22" s="22" t="inlineStr">
        <is>
          <t>M</t>
        </is>
      </c>
      <c r="F22" s="14">
        <f>VLOOKUP($E22,Assumptions!$A$8:$C$11,3,FALSE)</f>
        <v/>
      </c>
      <c r="G22" s="14">
        <f>$F22*(1+Assumptions!$C$21)</f>
        <v/>
      </c>
      <c r="H22" s="20" t="n">
        <v>0.7</v>
      </c>
      <c r="I22" s="20" t="n">
        <v>0.3</v>
      </c>
      <c r="J22" s="20" t="n">
        <v>0</v>
      </c>
      <c r="K22" s="20" t="n">
        <v>0</v>
      </c>
      <c r="L22" s="23">
        <f>SUM(H22:K22)</f>
        <v/>
      </c>
      <c r="M22" s="14">
        <f>$G22*H22*(1-Assumptions!$C$24)</f>
        <v/>
      </c>
      <c r="N22" s="14">
        <f>$G22*I22*(1-Assumptions!$C$25)</f>
        <v/>
      </c>
      <c r="O22" s="14">
        <f>$G22*J22*(1-Assumptions!$C$26)</f>
        <v/>
      </c>
      <c r="P22" s="14">
        <f>$G22*K22*(1-Assumptions!$C$27)</f>
        <v/>
      </c>
      <c r="Q22" s="24">
        <f>SUM(M22:P22)</f>
        <v/>
      </c>
    </row>
    <row r="23">
      <c r="A23" s="25" t="inlineStr">
        <is>
          <t>WI-018</t>
        </is>
      </c>
      <c r="B23" s="26" t="inlineStr">
        <is>
          <t>M1</t>
        </is>
      </c>
      <c r="C23" s="27" t="inlineStr">
        <is>
          <t>Packaging</t>
        </is>
      </c>
      <c r="D23" s="27" t="inlineStr">
        <is>
          <t>Runtime validated as buildable and deployable as a standalone artifact suitable for a future customer-managed environment, connector contract unchanged — MVP-09 (architectural)</t>
        </is>
      </c>
      <c r="E23" s="22" t="inlineStr">
        <is>
          <t>M</t>
        </is>
      </c>
      <c r="F23" s="14">
        <f>VLOOKUP($E23,Assumptions!$A$8:$C$11,3,FALSE)</f>
        <v/>
      </c>
      <c r="G23" s="14">
        <f>$F23*(1+Assumptions!$C$21)</f>
        <v/>
      </c>
      <c r="H23" s="20" t="n">
        <v>0.7</v>
      </c>
      <c r="I23" s="20" t="n">
        <v>0.3</v>
      </c>
      <c r="J23" s="20" t="n">
        <v>0</v>
      </c>
      <c r="K23" s="20" t="n">
        <v>0</v>
      </c>
      <c r="L23" s="23">
        <f>SUM(H23:K23)</f>
        <v/>
      </c>
      <c r="M23" s="14">
        <f>$G23*H23*(1-Assumptions!$C$24)</f>
        <v/>
      </c>
      <c r="N23" s="14">
        <f>$G23*I23*(1-Assumptions!$C$25)</f>
        <v/>
      </c>
      <c r="O23" s="14">
        <f>$G23*J23*(1-Assumptions!$C$26)</f>
        <v/>
      </c>
      <c r="P23" s="14">
        <f>$G23*K23*(1-Assumptions!$C$27)</f>
        <v/>
      </c>
      <c r="Q23" s="24">
        <f>SUM(M23:P23)</f>
        <v/>
      </c>
    </row>
    <row r="24">
      <c r="A24" s="4" t="inlineStr">
        <is>
          <t>WI-019</t>
        </is>
      </c>
      <c r="B24" s="21" t="inlineStr">
        <is>
          <t>M2</t>
        </is>
      </c>
      <c r="C24" s="16" t="inlineStr">
        <is>
          <t>Control plane</t>
        </is>
      </c>
      <c r="D24" s="16" t="inlineStr">
        <is>
          <t>Tenant and workload registry exposing both domain entities as first-class, queryable records</t>
        </is>
      </c>
      <c r="E24" s="22" t="inlineStr">
        <is>
          <t>L</t>
        </is>
      </c>
      <c r="F24" s="14">
        <f>VLOOKUP($E24,Assumptions!$A$8:$C$11,3,FALSE)</f>
        <v/>
      </c>
      <c r="G24" s="14">
        <f>$F24*(1+Assumptions!$C$21)</f>
        <v/>
      </c>
      <c r="H24" s="20" t="n">
        <v>1</v>
      </c>
      <c r="I24" s="20" t="n">
        <v>0</v>
      </c>
      <c r="J24" s="20" t="n">
        <v>0</v>
      </c>
      <c r="K24" s="20" t="n">
        <v>0</v>
      </c>
      <c r="L24" s="23">
        <f>SUM(H24:K24)</f>
        <v/>
      </c>
      <c r="M24" s="14">
        <f>$G24*H24*(1-Assumptions!$C$24)</f>
        <v/>
      </c>
      <c r="N24" s="14">
        <f>$G24*I24*(1-Assumptions!$C$25)</f>
        <v/>
      </c>
      <c r="O24" s="14">
        <f>$G24*J24*(1-Assumptions!$C$26)</f>
        <v/>
      </c>
      <c r="P24" s="14">
        <f>$G24*K24*(1-Assumptions!$C$27)</f>
        <v/>
      </c>
      <c r="Q24" s="24">
        <f>SUM(M24:P24)</f>
        <v/>
      </c>
    </row>
    <row r="25">
      <c r="A25" s="25" t="inlineStr">
        <is>
          <t>WI-020</t>
        </is>
      </c>
      <c r="B25" s="26" t="inlineStr">
        <is>
          <t>M2</t>
        </is>
      </c>
      <c r="C25" s="27" t="inlineStr">
        <is>
          <t>Control plane</t>
        </is>
      </c>
      <c r="D25" s="27" t="inlineStr">
        <is>
          <t>Policy bindings associating a workload with a specific policy version and an explicit enforcement-mode selection</t>
        </is>
      </c>
      <c r="E25" s="22" t="inlineStr">
        <is>
          <t>L</t>
        </is>
      </c>
      <c r="F25" s="14">
        <f>VLOOKUP($E25,Assumptions!$A$8:$C$11,3,FALSE)</f>
        <v/>
      </c>
      <c r="G25" s="14">
        <f>$F25*(1+Assumptions!$C$21)</f>
        <v/>
      </c>
      <c r="H25" s="20" t="n">
        <v>1</v>
      </c>
      <c r="I25" s="20" t="n">
        <v>0</v>
      </c>
      <c r="J25" s="20" t="n">
        <v>0</v>
      </c>
      <c r="K25" s="20" t="n">
        <v>0</v>
      </c>
      <c r="L25" s="23">
        <f>SUM(H25:K25)</f>
        <v/>
      </c>
      <c r="M25" s="14">
        <f>$G25*H25*(1-Assumptions!$C$24)</f>
        <v/>
      </c>
      <c r="N25" s="14">
        <f>$G25*I25*(1-Assumptions!$C$25)</f>
        <v/>
      </c>
      <c r="O25" s="14">
        <f>$G25*J25*(1-Assumptions!$C$26)</f>
        <v/>
      </c>
      <c r="P25" s="14">
        <f>$G25*K25*(1-Assumptions!$C$27)</f>
        <v/>
      </c>
      <c r="Q25" s="24">
        <f>SUM(M25:P25)</f>
        <v/>
      </c>
    </row>
    <row r="26">
      <c r="A26" s="4" t="inlineStr">
        <is>
          <t>WI-021</t>
        </is>
      </c>
      <c r="B26" s="21" t="inlineStr">
        <is>
          <t>M2</t>
        </is>
      </c>
      <c r="C26" s="16" t="inlineStr">
        <is>
          <t>Security</t>
        </is>
      </c>
      <c r="D26" s="16" t="inlineStr">
        <is>
          <t>IAM-based authentication for platform consumers using least-privilege, short-lived credentials</t>
        </is>
      </c>
      <c r="E26" s="22" t="inlineStr">
        <is>
          <t>M</t>
        </is>
      </c>
      <c r="F26" s="14">
        <f>VLOOKUP($E26,Assumptions!$A$8:$C$11,3,FALSE)</f>
        <v/>
      </c>
      <c r="G26" s="14">
        <f>$F26*(1+Assumptions!$C$21)</f>
        <v/>
      </c>
      <c r="H26" s="20" t="n">
        <v>0.5</v>
      </c>
      <c r="I26" s="20" t="n">
        <v>0.3</v>
      </c>
      <c r="J26" s="20" t="n">
        <v>0.2</v>
      </c>
      <c r="K26" s="20" t="n">
        <v>0</v>
      </c>
      <c r="L26" s="23">
        <f>SUM(H26:K26)</f>
        <v/>
      </c>
      <c r="M26" s="14">
        <f>$G26*H26*(1-Assumptions!$C$24)</f>
        <v/>
      </c>
      <c r="N26" s="14">
        <f>$G26*I26*(1-Assumptions!$C$25)</f>
        <v/>
      </c>
      <c r="O26" s="14">
        <f>$G26*J26*(1-Assumptions!$C$26)</f>
        <v/>
      </c>
      <c r="P26" s="14">
        <f>$G26*K26*(1-Assumptions!$C$27)</f>
        <v/>
      </c>
      <c r="Q26" s="24">
        <f>SUM(M26:P26)</f>
        <v/>
      </c>
    </row>
    <row r="27">
      <c r="A27" s="25" t="inlineStr">
        <is>
          <t>WI-022</t>
        </is>
      </c>
      <c r="B27" s="26" t="inlineStr">
        <is>
          <t>M2</t>
        </is>
      </c>
      <c r="C27" s="27" t="inlineStr">
        <is>
          <t>Security</t>
        </is>
      </c>
      <c r="D27" s="27" t="inlineStr">
        <is>
          <t>Per-tenant workload identities issued and enforced; none shared across tenants</t>
        </is>
      </c>
      <c r="E27" s="22" t="inlineStr">
        <is>
          <t>M</t>
        </is>
      </c>
      <c r="F27" s="14">
        <f>VLOOKUP($E27,Assumptions!$A$8:$C$11,3,FALSE)</f>
        <v/>
      </c>
      <c r="G27" s="14">
        <f>$F27*(1+Assumptions!$C$21)</f>
        <v/>
      </c>
      <c r="H27" s="20" t="n">
        <v>0.6</v>
      </c>
      <c r="I27" s="20" t="n">
        <v>0</v>
      </c>
      <c r="J27" s="20" t="n">
        <v>0.4</v>
      </c>
      <c r="K27" s="20" t="n">
        <v>0</v>
      </c>
      <c r="L27" s="23">
        <f>SUM(H27:K27)</f>
        <v/>
      </c>
      <c r="M27" s="14">
        <f>$G27*H27*(1-Assumptions!$C$24)</f>
        <v/>
      </c>
      <c r="N27" s="14">
        <f>$G27*I27*(1-Assumptions!$C$25)</f>
        <v/>
      </c>
      <c r="O27" s="14">
        <f>$G27*J27*(1-Assumptions!$C$26)</f>
        <v/>
      </c>
      <c r="P27" s="14">
        <f>$G27*K27*(1-Assumptions!$C$27)</f>
        <v/>
      </c>
      <c r="Q27" s="24">
        <f>SUM(M27:P27)</f>
        <v/>
      </c>
    </row>
    <row r="28">
      <c r="A28" s="4" t="inlineStr">
        <is>
          <t>WI-023</t>
        </is>
      </c>
      <c r="B28" s="21" t="inlineStr">
        <is>
          <t>M2</t>
        </is>
      </c>
      <c r="C28" s="16" t="inlineStr">
        <is>
          <t>Control plane</t>
        </is>
      </c>
      <c r="D28" s="16" t="inlineStr">
        <is>
          <t>Quotas implemented and enforced per tenant and per workload</t>
        </is>
      </c>
      <c r="E28" s="22" t="inlineStr">
        <is>
          <t>M</t>
        </is>
      </c>
      <c r="F28" s="14">
        <f>VLOOKUP($E28,Assumptions!$A$8:$C$11,3,FALSE)</f>
        <v/>
      </c>
      <c r="G28" s="14">
        <f>$F28*(1+Assumptions!$C$21)</f>
        <v/>
      </c>
      <c r="H28" s="20" t="n">
        <v>0.7</v>
      </c>
      <c r="I28" s="20" t="n">
        <v>0.3</v>
      </c>
      <c r="J28" s="20" t="n">
        <v>0</v>
      </c>
      <c r="K28" s="20" t="n">
        <v>0</v>
      </c>
      <c r="L28" s="23">
        <f>SUM(H28:K28)</f>
        <v/>
      </c>
      <c r="M28" s="14">
        <f>$G28*H28*(1-Assumptions!$C$24)</f>
        <v/>
      </c>
      <c r="N28" s="14">
        <f>$G28*I28*(1-Assumptions!$C$25)</f>
        <v/>
      </c>
      <c r="O28" s="14">
        <f>$G28*J28*(1-Assumptions!$C$26)</f>
        <v/>
      </c>
      <c r="P28" s="14">
        <f>$G28*K28*(1-Assumptions!$C$27)</f>
        <v/>
      </c>
      <c r="Q28" s="24">
        <f>SUM(M28:P28)</f>
        <v/>
      </c>
    </row>
    <row r="29">
      <c r="A29" s="25" t="inlineStr">
        <is>
          <t>WI-024</t>
        </is>
      </c>
      <c r="B29" s="26" t="inlineStr">
        <is>
          <t>M2</t>
        </is>
      </c>
      <c r="C29" s="27" t="inlineStr">
        <is>
          <t>Control plane</t>
        </is>
      </c>
      <c r="D29" s="27" t="inlineStr">
        <is>
          <t>Policy promotion: a new immutable version published and bound through a controlled, auditable step</t>
        </is>
      </c>
      <c r="E29" s="22" t="inlineStr">
        <is>
          <t>L</t>
        </is>
      </c>
      <c r="F29" s="14">
        <f>VLOOKUP($E29,Assumptions!$A$8:$C$11,3,FALSE)</f>
        <v/>
      </c>
      <c r="G29" s="14">
        <f>$F29*(1+Assumptions!$C$21)</f>
        <v/>
      </c>
      <c r="H29" s="20" t="n">
        <v>1</v>
      </c>
      <c r="I29" s="20" t="n">
        <v>0</v>
      </c>
      <c r="J29" s="20" t="n">
        <v>0</v>
      </c>
      <c r="K29" s="20" t="n">
        <v>0</v>
      </c>
      <c r="L29" s="23">
        <f>SUM(H29:K29)</f>
        <v/>
      </c>
      <c r="M29" s="14">
        <f>$G29*H29*(1-Assumptions!$C$24)</f>
        <v/>
      </c>
      <c r="N29" s="14">
        <f>$G29*I29*(1-Assumptions!$C$25)</f>
        <v/>
      </c>
      <c r="O29" s="14">
        <f>$G29*J29*(1-Assumptions!$C$26)</f>
        <v/>
      </c>
      <c r="P29" s="14">
        <f>$G29*K29*(1-Assumptions!$C$27)</f>
        <v/>
      </c>
      <c r="Q29" s="24">
        <f>SUM(M29:P29)</f>
        <v/>
      </c>
    </row>
    <row r="30">
      <c r="A30" s="4" t="inlineStr">
        <is>
          <t>WI-025</t>
        </is>
      </c>
      <c r="B30" s="21" t="inlineStr">
        <is>
          <t>M2</t>
        </is>
      </c>
      <c r="C30" s="16" t="inlineStr">
        <is>
          <t>Control plane</t>
        </is>
      </c>
      <c r="D30" s="16" t="inlineStr">
        <is>
          <t>Policy rollback: a binding reverted to a prior immutable version with prior behavior restored, both transitions in audit metadata</t>
        </is>
      </c>
      <c r="E30" s="22" t="inlineStr">
        <is>
          <t>M</t>
        </is>
      </c>
      <c r="F30" s="14">
        <f>VLOOKUP($E30,Assumptions!$A$8:$C$11,3,FALSE)</f>
        <v/>
      </c>
      <c r="G30" s="14">
        <f>$F30*(1+Assumptions!$C$21)</f>
        <v/>
      </c>
      <c r="H30" s="20" t="n">
        <v>1</v>
      </c>
      <c r="I30" s="20" t="n">
        <v>0</v>
      </c>
      <c r="J30" s="20" t="n">
        <v>0</v>
      </c>
      <c r="K30" s="20" t="n">
        <v>0</v>
      </c>
      <c r="L30" s="23">
        <f>SUM(H30:K30)</f>
        <v/>
      </c>
      <c r="M30" s="14">
        <f>$G30*H30*(1-Assumptions!$C$24)</f>
        <v/>
      </c>
      <c r="N30" s="14">
        <f>$G30*I30*(1-Assumptions!$C$25)</f>
        <v/>
      </c>
      <c r="O30" s="14">
        <f>$G30*J30*(1-Assumptions!$C$26)</f>
        <v/>
      </c>
      <c r="P30" s="14">
        <f>$G30*K30*(1-Assumptions!$C$27)</f>
        <v/>
      </c>
      <c r="Q30" s="24">
        <f>SUM(M30:P30)</f>
        <v/>
      </c>
    </row>
    <row r="31">
      <c r="A31" s="25" t="inlineStr">
        <is>
          <t>WI-026</t>
        </is>
      </c>
      <c r="B31" s="26" t="inlineStr">
        <is>
          <t>M2</t>
        </is>
      </c>
      <c r="C31" s="27" t="inlineStr">
        <is>
          <t>Runtime</t>
        </is>
      </c>
      <c r="D31" s="27" t="inlineStr">
        <is>
          <t>Promotion between ladder states is an explicit, auditable action — never an implicit side effect of another change</t>
        </is>
      </c>
      <c r="E31" s="22" t="inlineStr">
        <is>
          <t>M</t>
        </is>
      </c>
      <c r="F31" s="14">
        <f>VLOOKUP($E31,Assumptions!$A$8:$C$11,3,FALSE)</f>
        <v/>
      </c>
      <c r="G31" s="14">
        <f>$F31*(1+Assumptions!$C$21)</f>
        <v/>
      </c>
      <c r="H31" s="20" t="n">
        <v>0.8</v>
      </c>
      <c r="I31" s="20" t="n">
        <v>0</v>
      </c>
      <c r="J31" s="20" t="n">
        <v>0.2</v>
      </c>
      <c r="K31" s="20" t="n">
        <v>0</v>
      </c>
      <c r="L31" s="23">
        <f>SUM(H31:K31)</f>
        <v/>
      </c>
      <c r="M31" s="14">
        <f>$G31*H31*(1-Assumptions!$C$24)</f>
        <v/>
      </c>
      <c r="N31" s="14">
        <f>$G31*I31*(1-Assumptions!$C$25)</f>
        <v/>
      </c>
      <c r="O31" s="14">
        <f>$G31*J31*(1-Assumptions!$C$26)</f>
        <v/>
      </c>
      <c r="P31" s="14">
        <f>$G31*K31*(1-Assumptions!$C$27)</f>
        <v/>
      </c>
      <c r="Q31" s="24">
        <f>SUM(M31:P31)</f>
        <v/>
      </c>
    </row>
    <row r="32">
      <c r="A32" s="4" t="inlineStr">
        <is>
          <t>WI-027</t>
        </is>
      </c>
      <c r="B32" s="21" t="inlineStr">
        <is>
          <t>M2</t>
        </is>
      </c>
      <c r="C32" s="16" t="inlineStr">
        <is>
          <t>Observability</t>
        </is>
      </c>
      <c r="D32" s="16" t="inlineStr">
        <is>
          <t>Service-level monitoring covering evaluation latency, timeout rate, decision distribution and policy-cache hit rate</t>
        </is>
      </c>
      <c r="E32" s="22" t="inlineStr">
        <is>
          <t>L</t>
        </is>
      </c>
      <c r="F32" s="14">
        <f>VLOOKUP($E32,Assumptions!$A$8:$C$11,3,FALSE)</f>
        <v/>
      </c>
      <c r="G32" s="14">
        <f>$F32*(1+Assumptions!$C$21)</f>
        <v/>
      </c>
      <c r="H32" s="20" t="n">
        <v>0.4</v>
      </c>
      <c r="I32" s="20" t="n">
        <v>0.6</v>
      </c>
      <c r="J32" s="20" t="n">
        <v>0</v>
      </c>
      <c r="K32" s="20" t="n">
        <v>0</v>
      </c>
      <c r="L32" s="23">
        <f>SUM(H32:K32)</f>
        <v/>
      </c>
      <c r="M32" s="14">
        <f>$G32*H32*(1-Assumptions!$C$24)</f>
        <v/>
      </c>
      <c r="N32" s="14">
        <f>$G32*I32*(1-Assumptions!$C$25)</f>
        <v/>
      </c>
      <c r="O32" s="14">
        <f>$G32*J32*(1-Assumptions!$C$26)</f>
        <v/>
      </c>
      <c r="P32" s="14">
        <f>$G32*K32*(1-Assumptions!$C$27)</f>
        <v/>
      </c>
      <c r="Q32" s="24">
        <f>SUM(M32:P32)</f>
        <v/>
      </c>
    </row>
    <row r="33">
      <c r="A33" s="25" t="inlineStr">
        <is>
          <t>WI-028</t>
        </is>
      </c>
      <c r="B33" s="26" t="inlineStr">
        <is>
          <t>M2</t>
        </is>
      </c>
      <c r="C33" s="27" t="inlineStr">
        <is>
          <t>Control plane</t>
        </is>
      </c>
      <c r="D33" s="27" t="inlineStr">
        <is>
          <t>Basic administration workflow for tenant, workload and binding management — a minimal management API and version-controlled configuration are acceptable at this milestone</t>
        </is>
      </c>
      <c r="E33" s="22" t="inlineStr">
        <is>
          <t>M</t>
        </is>
      </c>
      <c r="F33" s="14">
        <f>VLOOKUP($E33,Assumptions!$A$8:$C$11,3,FALSE)</f>
        <v/>
      </c>
      <c r="G33" s="14">
        <f>$F33*(1+Assumptions!$C$21)</f>
        <v/>
      </c>
      <c r="H33" s="20" t="n">
        <v>1</v>
      </c>
      <c r="I33" s="20" t="n">
        <v>0</v>
      </c>
      <c r="J33" s="20" t="n">
        <v>0</v>
      </c>
      <c r="K33" s="20" t="n">
        <v>0</v>
      </c>
      <c r="L33" s="23">
        <f>SUM(H33:K33)</f>
        <v/>
      </c>
      <c r="M33" s="14">
        <f>$G33*H33*(1-Assumptions!$C$24)</f>
        <v/>
      </c>
      <c r="N33" s="14">
        <f>$G33*I33*(1-Assumptions!$C$25)</f>
        <v/>
      </c>
      <c r="O33" s="14">
        <f>$G33*J33*(1-Assumptions!$C$26)</f>
        <v/>
      </c>
      <c r="P33" s="14">
        <f>$G33*K33*(1-Assumptions!$C$27)</f>
        <v/>
      </c>
      <c r="Q33" s="24">
        <f>SUM(M33:P33)</f>
        <v/>
      </c>
    </row>
    <row r="34">
      <c r="A34" s="4" t="inlineStr">
        <is>
          <t>WI-029</t>
        </is>
      </c>
      <c r="B34" s="21" t="inlineStr">
        <is>
          <t>M2</t>
        </is>
      </c>
      <c r="C34" s="16" t="inlineStr">
        <is>
          <t>Validation</t>
        </is>
      </c>
      <c r="D34" s="16" t="inlineStr">
        <is>
          <t>Two internal teams have independently registered a workload, bound it to the same shared policy version, and operate under distinct identities and distinct enforcement modes</t>
        </is>
      </c>
      <c r="E34" s="22" t="inlineStr">
        <is>
          <t>M</t>
        </is>
      </c>
      <c r="F34" s="14">
        <f>VLOOKUP($E34,Assumptions!$A$8:$C$11,3,FALSE)</f>
        <v/>
      </c>
      <c r="G34" s="14">
        <f>$F34*(1+Assumptions!$C$21)</f>
        <v/>
      </c>
      <c r="H34" s="20" t="n">
        <v>0.3</v>
      </c>
      <c r="I34" s="20" t="n">
        <v>0</v>
      </c>
      <c r="J34" s="20" t="n">
        <v>0.2</v>
      </c>
      <c r="K34" s="20" t="n">
        <v>0.5</v>
      </c>
      <c r="L34" s="23">
        <f>SUM(H34:K34)</f>
        <v/>
      </c>
      <c r="M34" s="14">
        <f>$G34*H34*(1-Assumptions!$C$24)</f>
        <v/>
      </c>
      <c r="N34" s="14">
        <f>$G34*I34*(1-Assumptions!$C$25)</f>
        <v/>
      </c>
      <c r="O34" s="14">
        <f>$G34*J34*(1-Assumptions!$C$26)</f>
        <v/>
      </c>
      <c r="P34" s="14">
        <f>$G34*K34*(1-Assumptions!$C$27)</f>
        <v/>
      </c>
      <c r="Q34" s="24">
        <f>SUM(M34:P34)</f>
        <v/>
      </c>
    </row>
    <row r="35">
      <c r="A35" s="25" t="inlineStr">
        <is>
          <t>WI-030</t>
        </is>
      </c>
      <c r="B35" s="26" t="inlineStr">
        <is>
          <t>M2</t>
        </is>
      </c>
      <c r="C35" s="27" t="inlineStr">
        <is>
          <t>Validation</t>
        </is>
      </c>
      <c r="D35" s="27" t="inlineStr">
        <is>
          <t>A published policy version is upgraded for one workload and rolled back, both behaviors verified and both transitions in the audit trail — MVP-06</t>
        </is>
      </c>
      <c r="E35" s="22" t="inlineStr">
        <is>
          <t>S</t>
        </is>
      </c>
      <c r="F35" s="14">
        <f>VLOOKUP($E35,Assumptions!$A$8:$C$11,3,FALSE)</f>
        <v/>
      </c>
      <c r="G35" s="14">
        <f>$F35*(1+Assumptions!$C$21)</f>
        <v/>
      </c>
      <c r="H35" s="20" t="n">
        <v>0.5</v>
      </c>
      <c r="I35" s="20" t="n">
        <v>0</v>
      </c>
      <c r="J35" s="20" t="n">
        <v>0.2</v>
      </c>
      <c r="K35" s="20" t="n">
        <v>0.3</v>
      </c>
      <c r="L35" s="23">
        <f>SUM(H35:K35)</f>
        <v/>
      </c>
      <c r="M35" s="14">
        <f>$G35*H35*(1-Assumptions!$C$24)</f>
        <v/>
      </c>
      <c r="N35" s="14">
        <f>$G35*I35*(1-Assumptions!$C$25)</f>
        <v/>
      </c>
      <c r="O35" s="14">
        <f>$G35*J35*(1-Assumptions!$C$26)</f>
        <v/>
      </c>
      <c r="P35" s="14">
        <f>$G35*K35*(1-Assumptions!$C$27)</f>
        <v/>
      </c>
      <c r="Q35" s="24">
        <f>SUM(M35:P35)</f>
        <v/>
      </c>
    </row>
    <row r="36">
      <c r="A36" s="4" t="inlineStr">
        <is>
          <t>WI-031</t>
        </is>
      </c>
      <c r="B36" s="21" t="inlineStr">
        <is>
          <t>M3</t>
        </is>
      </c>
      <c r="C36" s="16" t="inlineStr">
        <is>
          <t>Gateway</t>
        </is>
      </c>
      <c r="D36" s="16" t="inlineStr">
        <is>
          <t>A managed gateway operated end to end by the provider</t>
        </is>
      </c>
      <c r="E36" s="22" t="inlineStr">
        <is>
          <t>XL</t>
        </is>
      </c>
      <c r="F36" s="14">
        <f>VLOOKUP($E36,Assumptions!$A$8:$C$11,3,FALSE)</f>
        <v/>
      </c>
      <c r="G36" s="14">
        <f>$F36*(1+Assumptions!$C$21)</f>
        <v/>
      </c>
      <c r="H36" s="20" t="n">
        <v>0.5</v>
      </c>
      <c r="I36" s="20" t="n">
        <v>0.5</v>
      </c>
      <c r="J36" s="20" t="n">
        <v>0</v>
      </c>
      <c r="K36" s="20" t="n">
        <v>0</v>
      </c>
      <c r="L36" s="23">
        <f>SUM(H36:K36)</f>
        <v/>
      </c>
      <c r="M36" s="14">
        <f>$G36*H36*(1-Assumptions!$C$24)</f>
        <v/>
      </c>
      <c r="N36" s="14">
        <f>$G36*I36*(1-Assumptions!$C$25)</f>
        <v/>
      </c>
      <c r="O36" s="14">
        <f>$G36*J36*(1-Assumptions!$C$26)</f>
        <v/>
      </c>
      <c r="P36" s="14">
        <f>$G36*K36*(1-Assumptions!$C$27)</f>
        <v/>
      </c>
      <c r="Q36" s="24">
        <f>SUM(M36:P36)</f>
        <v/>
      </c>
    </row>
    <row r="37">
      <c r="A37" s="25" t="inlineStr">
        <is>
          <t>WI-032</t>
        </is>
      </c>
      <c r="B37" s="26" t="inlineStr">
        <is>
          <t>M3</t>
        </is>
      </c>
      <c r="C37" s="27" t="inlineStr">
        <is>
          <t>Gateway</t>
        </is>
      </c>
      <c r="D37" s="27" t="inlineStr">
        <is>
          <t>Model-provider configuration implemented and operated by the provider, not the consuming team, for gateway traffic</t>
        </is>
      </c>
      <c r="E37" s="22" t="inlineStr">
        <is>
          <t>M</t>
        </is>
      </c>
      <c r="F37" s="14">
        <f>VLOOKUP($E37,Assumptions!$A$8:$C$11,3,FALSE)</f>
        <v/>
      </c>
      <c r="G37" s="14">
        <f>$F37*(1+Assumptions!$C$21)</f>
        <v/>
      </c>
      <c r="H37" s="20" t="n">
        <v>0.3</v>
      </c>
      <c r="I37" s="20" t="n">
        <v>0.7</v>
      </c>
      <c r="J37" s="20" t="n">
        <v>0</v>
      </c>
      <c r="K37" s="20" t="n">
        <v>0</v>
      </c>
      <c r="L37" s="23">
        <f>SUM(H37:K37)</f>
        <v/>
      </c>
      <c r="M37" s="14">
        <f>$G37*H37*(1-Assumptions!$C$24)</f>
        <v/>
      </c>
      <c r="N37" s="14">
        <f>$G37*I37*(1-Assumptions!$C$25)</f>
        <v/>
      </c>
      <c r="O37" s="14">
        <f>$G37*J37*(1-Assumptions!$C$26)</f>
        <v/>
      </c>
      <c r="P37" s="14">
        <f>$G37*K37*(1-Assumptions!$C$27)</f>
        <v/>
      </c>
      <c r="Q37" s="24">
        <f>SUM(M37:P37)</f>
        <v/>
      </c>
    </row>
    <row r="38">
      <c r="A38" s="4" t="inlineStr">
        <is>
          <t>WI-033</t>
        </is>
      </c>
      <c r="B38" s="21" t="inlineStr">
        <is>
          <t>M3</t>
        </is>
      </c>
      <c r="C38" s="16" t="inlineStr">
        <is>
          <t>Gateway</t>
        </is>
      </c>
      <c r="D38" s="16" t="inlineStr">
        <is>
          <t>Per-tenant routing directing each tenant's inference traffic to the correct model configuration</t>
        </is>
      </c>
      <c r="E38" s="22" t="inlineStr">
        <is>
          <t>L</t>
        </is>
      </c>
      <c r="F38" s="14">
        <f>VLOOKUP($E38,Assumptions!$A$8:$C$11,3,FALSE)</f>
        <v/>
      </c>
      <c r="G38" s="14">
        <f>$F38*(1+Assumptions!$C$21)</f>
        <v/>
      </c>
      <c r="H38" s="20" t="n">
        <v>0.6</v>
      </c>
      <c r="I38" s="20" t="n">
        <v>0.4</v>
      </c>
      <c r="J38" s="20" t="n">
        <v>0</v>
      </c>
      <c r="K38" s="20" t="n">
        <v>0</v>
      </c>
      <c r="L38" s="23">
        <f>SUM(H38:K38)</f>
        <v/>
      </c>
      <c r="M38" s="14">
        <f>$G38*H38*(1-Assumptions!$C$24)</f>
        <v/>
      </c>
      <c r="N38" s="14">
        <f>$G38*I38*(1-Assumptions!$C$25)</f>
        <v/>
      </c>
      <c r="O38" s="14">
        <f>$G38*J38*(1-Assumptions!$C$26)</f>
        <v/>
      </c>
      <c r="P38" s="14">
        <f>$G38*K38*(1-Assumptions!$C$27)</f>
        <v/>
      </c>
      <c r="Q38" s="24">
        <f>SUM(M38:P38)</f>
        <v/>
      </c>
    </row>
    <row r="39">
      <c r="A39" s="25" t="inlineStr">
        <is>
          <t>WI-034</t>
        </is>
      </c>
      <c r="B39" s="26" t="inlineStr">
        <is>
          <t>M3</t>
        </is>
      </c>
      <c r="C39" s="27" t="inlineStr">
        <is>
          <t>Gateway</t>
        </is>
      </c>
      <c r="D39" s="27" t="inlineStr">
        <is>
          <t>Cost and rate controls covering rate limits and usage quotas for the managed path</t>
        </is>
      </c>
      <c r="E39" s="22" t="inlineStr">
        <is>
          <t>L</t>
        </is>
      </c>
      <c r="F39" s="14">
        <f>VLOOKUP($E39,Assumptions!$A$8:$C$11,3,FALSE)</f>
        <v/>
      </c>
      <c r="G39" s="14">
        <f>$F39*(1+Assumptions!$C$21)</f>
        <v/>
      </c>
      <c r="H39" s="20" t="n">
        <v>0.6</v>
      </c>
      <c r="I39" s="20" t="n">
        <v>0.4</v>
      </c>
      <c r="J39" s="20" t="n">
        <v>0</v>
      </c>
      <c r="K39" s="20" t="n">
        <v>0</v>
      </c>
      <c r="L39" s="23">
        <f>SUM(H39:K39)</f>
        <v/>
      </c>
      <c r="M39" s="14">
        <f>$G39*H39*(1-Assumptions!$C$24)</f>
        <v/>
      </c>
      <c r="N39" s="14">
        <f>$G39*I39*(1-Assumptions!$C$25)</f>
        <v/>
      </c>
      <c r="O39" s="14">
        <f>$G39*J39*(1-Assumptions!$C$26)</f>
        <v/>
      </c>
      <c r="P39" s="14">
        <f>$G39*K39*(1-Assumptions!$C$27)</f>
        <v/>
      </c>
      <c r="Q39" s="24">
        <f>SUM(M39:P39)</f>
        <v/>
      </c>
    </row>
    <row r="40">
      <c r="A40" s="4" t="inlineStr">
        <is>
          <t>WI-035</t>
        </is>
      </c>
      <c r="B40" s="21" t="inlineStr">
        <is>
          <t>M3</t>
        </is>
      </c>
      <c r="C40" s="16" t="inlineStr">
        <is>
          <t>Security</t>
        </is>
      </c>
      <c r="D40" s="16" t="inlineStr">
        <is>
          <t>Managed credential custody: the provider holds provider credentials for gateway traffic and the consuming team supplies none</t>
        </is>
      </c>
      <c r="E40" s="22" t="inlineStr">
        <is>
          <t>M</t>
        </is>
      </c>
      <c r="F40" s="14">
        <f>VLOOKUP($E40,Assumptions!$A$8:$C$11,3,FALSE)</f>
        <v/>
      </c>
      <c r="G40" s="14">
        <f>$F40*(1+Assumptions!$C$21)</f>
        <v/>
      </c>
      <c r="H40" s="20" t="n">
        <v>0.2</v>
      </c>
      <c r="I40" s="20" t="n">
        <v>0.5</v>
      </c>
      <c r="J40" s="20" t="n">
        <v>0.3</v>
      </c>
      <c r="K40" s="20" t="n">
        <v>0</v>
      </c>
      <c r="L40" s="23">
        <f>SUM(H40:K40)</f>
        <v/>
      </c>
      <c r="M40" s="14">
        <f>$G40*H40*(1-Assumptions!$C$24)</f>
        <v/>
      </c>
      <c r="N40" s="14">
        <f>$G40*I40*(1-Assumptions!$C$25)</f>
        <v/>
      </c>
      <c r="O40" s="14">
        <f>$G40*J40*(1-Assumptions!$C$26)</f>
        <v/>
      </c>
      <c r="P40" s="14">
        <f>$G40*K40*(1-Assumptions!$C$27)</f>
        <v/>
      </c>
      <c r="Q40" s="24">
        <f>SUM(M40:P40)</f>
        <v/>
      </c>
    </row>
    <row r="41">
      <c r="A41" s="25" t="inlineStr">
        <is>
          <t>WI-036</t>
        </is>
      </c>
      <c r="B41" s="26" t="inlineStr">
        <is>
          <t>M3</t>
        </is>
      </c>
      <c r="C41" s="27" t="inlineStr">
        <is>
          <t>Operability</t>
        </is>
      </c>
      <c r="D41" s="27" t="inlineStr">
        <is>
          <t>A unified availability objective spanning model routing and guardrail evaluation is defined and documented — the objective, not a specific figure</t>
        </is>
      </c>
      <c r="E41" s="22" t="inlineStr">
        <is>
          <t>S</t>
        </is>
      </c>
      <c r="F41" s="14">
        <f>VLOOKUP($E41,Assumptions!$A$8:$C$11,3,FALSE)</f>
        <v/>
      </c>
      <c r="G41" s="14">
        <f>$F41*(1+Assumptions!$C$21)</f>
        <v/>
      </c>
      <c r="H41" s="20" t="n">
        <v>0.4</v>
      </c>
      <c r="I41" s="20" t="n">
        <v>0.6</v>
      </c>
      <c r="J41" s="20" t="n">
        <v>0</v>
      </c>
      <c r="K41" s="20" t="n">
        <v>0</v>
      </c>
      <c r="L41" s="23">
        <f>SUM(H41:K41)</f>
        <v/>
      </c>
      <c r="M41" s="14">
        <f>$G41*H41*(1-Assumptions!$C$24)</f>
        <v/>
      </c>
      <c r="N41" s="14">
        <f>$G41*I41*(1-Assumptions!$C$25)</f>
        <v/>
      </c>
      <c r="O41" s="14">
        <f>$G41*J41*(1-Assumptions!$C$26)</f>
        <v/>
      </c>
      <c r="P41" s="14">
        <f>$G41*K41*(1-Assumptions!$C$27)</f>
        <v/>
      </c>
      <c r="Q41" s="24">
        <f>SUM(M41:P41)</f>
        <v/>
      </c>
    </row>
    <row r="42">
      <c r="A42" s="4" t="inlineStr">
        <is>
          <t>WI-037</t>
        </is>
      </c>
      <c r="B42" s="21" t="inlineStr">
        <is>
          <t>M3</t>
        </is>
      </c>
      <c r="C42" s="16" t="inlineStr">
        <is>
          <t>Validation</t>
        </is>
      </c>
      <c r="D42" s="16" t="inlineStr">
        <is>
          <t>At least one workload onboarded and operating end to end through the gateway with input guardrails, routing, invocation, output guardrails and reporting on one request path</t>
        </is>
      </c>
      <c r="E42" s="22" t="inlineStr">
        <is>
          <t>M</t>
        </is>
      </c>
      <c r="F42" s="14">
        <f>VLOOKUP($E42,Assumptions!$A$8:$C$11,3,FALSE)</f>
        <v/>
      </c>
      <c r="G42" s="14">
        <f>$F42*(1+Assumptions!$C$21)</f>
        <v/>
      </c>
      <c r="H42" s="20" t="n">
        <v>0.4</v>
      </c>
      <c r="I42" s="20" t="n">
        <v>0.3</v>
      </c>
      <c r="J42" s="20" t="n">
        <v>0</v>
      </c>
      <c r="K42" s="20" t="n">
        <v>0.3</v>
      </c>
      <c r="L42" s="23">
        <f>SUM(H42:K42)</f>
        <v/>
      </c>
      <c r="M42" s="14">
        <f>$G42*H42*(1-Assumptions!$C$24)</f>
        <v/>
      </c>
      <c r="N42" s="14">
        <f>$G42*I42*(1-Assumptions!$C$25)</f>
        <v/>
      </c>
      <c r="O42" s="14">
        <f>$G42*J42*(1-Assumptions!$C$26)</f>
        <v/>
      </c>
      <c r="P42" s="14">
        <f>$G42*K42*(1-Assumptions!$C$27)</f>
        <v/>
      </c>
      <c r="Q42" s="24">
        <f>SUM(M42:P42)</f>
        <v/>
      </c>
    </row>
    <row r="43">
      <c r="A43" s="25" t="inlineStr">
        <is>
          <t>WI-038</t>
        </is>
      </c>
      <c r="B43" s="26" t="inlineStr">
        <is>
          <t>M3</t>
        </is>
      </c>
      <c r="C43" s="27" t="inlineStr">
        <is>
          <t>Governance</t>
        </is>
      </c>
      <c r="D43" s="27" t="inlineStr">
        <is>
          <t>Content-exposure documentation for the gateway mode published, separating operational ownership from data exposure</t>
        </is>
      </c>
      <c r="E43" s="22" t="inlineStr">
        <is>
          <t>S</t>
        </is>
      </c>
      <c r="F43" s="14">
        <f>VLOOKUP($E43,Assumptions!$A$8:$C$11,3,FALSE)</f>
        <v/>
      </c>
      <c r="G43" s="14">
        <f>$F43*(1+Assumptions!$C$21)</f>
        <v/>
      </c>
      <c r="H43" s="20" t="n">
        <v>0.5</v>
      </c>
      <c r="I43" s="20" t="n">
        <v>0</v>
      </c>
      <c r="J43" s="20" t="n">
        <v>0.5</v>
      </c>
      <c r="K43" s="20" t="n">
        <v>0</v>
      </c>
      <c r="L43" s="23">
        <f>SUM(H43:K43)</f>
        <v/>
      </c>
      <c r="M43" s="14">
        <f>$G43*H43*(1-Assumptions!$C$24)</f>
        <v/>
      </c>
      <c r="N43" s="14">
        <f>$G43*I43*(1-Assumptions!$C$25)</f>
        <v/>
      </c>
      <c r="O43" s="14">
        <f>$G43*J43*(1-Assumptions!$C$26)</f>
        <v/>
      </c>
      <c r="P43" s="14">
        <f>$G43*K43*(1-Assumptions!$C$27)</f>
        <v/>
      </c>
      <c r="Q43" s="24">
        <f>SUM(M43:P43)</f>
        <v/>
      </c>
    </row>
    <row r="44">
      <c r="A44" s="4" t="inlineStr">
        <is>
          <t>WI-039</t>
        </is>
      </c>
      <c r="B44" s="21" t="inlineStr">
        <is>
          <t>M3</t>
        </is>
      </c>
      <c r="C44" s="16" t="inlineStr">
        <is>
          <t>Contract</t>
        </is>
      </c>
      <c r="D44" s="16" t="inlineStr">
        <is>
          <t>The evaluation contract, decision structure, reason codes and policy-version semantics verified unchanged for gateway traffic</t>
        </is>
      </c>
      <c r="E44" s="22" t="inlineStr">
        <is>
          <t>S</t>
        </is>
      </c>
      <c r="F44" s="14">
        <f>VLOOKUP($E44,Assumptions!$A$8:$C$11,3,FALSE)</f>
        <v/>
      </c>
      <c r="G44" s="14">
        <f>$F44*(1+Assumptions!$C$21)</f>
        <v/>
      </c>
      <c r="H44" s="20" t="n">
        <v>1</v>
      </c>
      <c r="I44" s="20" t="n">
        <v>0</v>
      </c>
      <c r="J44" s="20" t="n">
        <v>0</v>
      </c>
      <c r="K44" s="20" t="n">
        <v>0</v>
      </c>
      <c r="L44" s="23">
        <f>SUM(H44:K44)</f>
        <v/>
      </c>
      <c r="M44" s="14">
        <f>$G44*H44*(1-Assumptions!$C$24)</f>
        <v/>
      </c>
      <c r="N44" s="14">
        <f>$G44*I44*(1-Assumptions!$C$25)</f>
        <v/>
      </c>
      <c r="O44" s="14">
        <f>$G44*J44*(1-Assumptions!$C$26)</f>
        <v/>
      </c>
      <c r="P44" s="14">
        <f>$G44*K44*(1-Assumptions!$C$27)</f>
        <v/>
      </c>
      <c r="Q44" s="24">
        <f>SUM(M44:P44)</f>
        <v/>
      </c>
    </row>
    <row r="45">
      <c r="A45" s="25" t="inlineStr">
        <is>
          <t>WI-040</t>
        </is>
      </c>
      <c r="B45" s="26" t="inlineStr">
        <is>
          <t>M4</t>
        </is>
      </c>
      <c r="C45" s="27" t="inlineStr">
        <is>
          <t>Packaging</t>
        </is>
      </c>
      <c r="D45" s="27" t="inlineStr">
        <is>
          <t>Runtime container image published as a supported deployment artifact</t>
        </is>
      </c>
      <c r="E45" s="22" t="inlineStr">
        <is>
          <t>M</t>
        </is>
      </c>
      <c r="F45" s="14">
        <f>VLOOKUP($E45,Assumptions!$A$8:$C$11,3,FALSE)</f>
        <v/>
      </c>
      <c r="G45" s="14">
        <f>$F45*(1+Assumptions!$C$21)</f>
        <v/>
      </c>
      <c r="H45" s="20" t="n">
        <v>0.7</v>
      </c>
      <c r="I45" s="20" t="n">
        <v>0.3</v>
      </c>
      <c r="J45" s="20" t="n">
        <v>0</v>
      </c>
      <c r="K45" s="20" t="n">
        <v>0</v>
      </c>
      <c r="L45" s="23">
        <f>SUM(H45:K45)</f>
        <v/>
      </c>
      <c r="M45" s="14">
        <f>$G45*H45*(1-Assumptions!$C$24)</f>
        <v/>
      </c>
      <c r="N45" s="14">
        <f>$G45*I45*(1-Assumptions!$C$25)</f>
        <v/>
      </c>
      <c r="O45" s="14">
        <f>$G45*J45*(1-Assumptions!$C$26)</f>
        <v/>
      </c>
      <c r="P45" s="14">
        <f>$G45*K45*(1-Assumptions!$C$27)</f>
        <v/>
      </c>
      <c r="Q45" s="24">
        <f>SUM(M45:P45)</f>
        <v/>
      </c>
    </row>
    <row r="46">
      <c r="A46" s="4" t="inlineStr">
        <is>
          <t>WI-041</t>
        </is>
      </c>
      <c r="B46" s="21" t="inlineStr">
        <is>
          <t>M4</t>
        </is>
      </c>
      <c r="C46" s="16" t="inlineStr">
        <is>
          <t>Packaging</t>
        </is>
      </c>
      <c r="D46" s="16" t="inlineStr">
        <is>
          <t>Helm chart published for Kubernetes-based customer deployment</t>
        </is>
      </c>
      <c r="E46" s="22" t="inlineStr">
        <is>
          <t>M</t>
        </is>
      </c>
      <c r="F46" s="14">
        <f>VLOOKUP($E46,Assumptions!$A$8:$C$11,3,FALSE)</f>
        <v/>
      </c>
      <c r="G46" s="14">
        <f>$F46*(1+Assumptions!$C$21)</f>
        <v/>
      </c>
      <c r="H46" s="20" t="n">
        <v>0.6</v>
      </c>
      <c r="I46" s="20" t="n">
        <v>0.4</v>
      </c>
      <c r="J46" s="20" t="n">
        <v>0</v>
      </c>
      <c r="K46" s="20" t="n">
        <v>0</v>
      </c>
      <c r="L46" s="23">
        <f>SUM(H46:K46)</f>
        <v/>
      </c>
      <c r="M46" s="14">
        <f>$G46*H46*(1-Assumptions!$C$24)</f>
        <v/>
      </c>
      <c r="N46" s="14">
        <f>$G46*I46*(1-Assumptions!$C$25)</f>
        <v/>
      </c>
      <c r="O46" s="14">
        <f>$G46*J46*(1-Assumptions!$C$26)</f>
        <v/>
      </c>
      <c r="P46" s="14">
        <f>$G46*K46*(1-Assumptions!$C$27)</f>
        <v/>
      </c>
      <c r="Q46" s="24">
        <f>SUM(M46:P46)</f>
        <v/>
      </c>
    </row>
    <row r="47">
      <c r="A47" s="25" t="inlineStr">
        <is>
          <t>WI-042</t>
        </is>
      </c>
      <c r="B47" s="26" t="inlineStr">
        <is>
          <t>M4</t>
        </is>
      </c>
      <c r="C47" s="27" t="inlineStr">
        <is>
          <t>Packaging</t>
        </is>
      </c>
      <c r="D47" s="27" t="inlineStr">
        <is>
          <t>ECS deployment template published</t>
        </is>
      </c>
      <c r="E47" s="22" t="inlineStr">
        <is>
          <t>M</t>
        </is>
      </c>
      <c r="F47" s="14">
        <f>VLOOKUP($E47,Assumptions!$A$8:$C$11,3,FALSE)</f>
        <v/>
      </c>
      <c r="G47" s="14">
        <f>$F47*(1+Assumptions!$C$21)</f>
        <v/>
      </c>
      <c r="H47" s="20" t="n">
        <v>0.6</v>
      </c>
      <c r="I47" s="20" t="n">
        <v>0.4</v>
      </c>
      <c r="J47" s="20" t="n">
        <v>0</v>
      </c>
      <c r="K47" s="20" t="n">
        <v>0</v>
      </c>
      <c r="L47" s="23">
        <f>SUM(H47:K47)</f>
        <v/>
      </c>
      <c r="M47" s="14">
        <f>$G47*H47*(1-Assumptions!$C$24)</f>
        <v/>
      </c>
      <c r="N47" s="14">
        <f>$G47*I47*(1-Assumptions!$C$25)</f>
        <v/>
      </c>
      <c r="O47" s="14">
        <f>$G47*J47*(1-Assumptions!$C$26)</f>
        <v/>
      </c>
      <c r="P47" s="14">
        <f>$G47*K47*(1-Assumptions!$C$27)</f>
        <v/>
      </c>
      <c r="Q47" s="24">
        <f>SUM(M47:P47)</f>
        <v/>
      </c>
    </row>
    <row r="48">
      <c r="A48" s="4" t="inlineStr">
        <is>
          <t>WI-043</t>
        </is>
      </c>
      <c r="B48" s="21" t="inlineStr">
        <is>
          <t>M4</t>
        </is>
      </c>
      <c r="C48" s="16" t="inlineStr">
        <is>
          <t>Packaging</t>
        </is>
      </c>
      <c r="D48" s="16" t="inlineStr">
        <is>
          <t>Infrastructure module published for provisioning the customer-managed runtime</t>
        </is>
      </c>
      <c r="E48" s="22" t="inlineStr">
        <is>
          <t>L</t>
        </is>
      </c>
      <c r="F48" s="14">
        <f>VLOOKUP($E48,Assumptions!$A$8:$C$11,3,FALSE)</f>
        <v/>
      </c>
      <c r="G48" s="14">
        <f>$F48*(1+Assumptions!$C$21)</f>
        <v/>
      </c>
      <c r="H48" s="20" t="n">
        <v>0.4</v>
      </c>
      <c r="I48" s="20" t="n">
        <v>0.6</v>
      </c>
      <c r="J48" s="20" t="n">
        <v>0</v>
      </c>
      <c r="K48" s="20" t="n">
        <v>0</v>
      </c>
      <c r="L48" s="23">
        <f>SUM(H48:K48)</f>
        <v/>
      </c>
      <c r="M48" s="14">
        <f>$G48*H48*(1-Assumptions!$C$24)</f>
        <v/>
      </c>
      <c r="N48" s="14">
        <f>$G48*I48*(1-Assumptions!$C$25)</f>
        <v/>
      </c>
      <c r="O48" s="14">
        <f>$G48*J48*(1-Assumptions!$C$26)</f>
        <v/>
      </c>
      <c r="P48" s="14">
        <f>$G48*K48*(1-Assumptions!$C$27)</f>
        <v/>
      </c>
      <c r="Q48" s="24">
        <f>SUM(M48:P48)</f>
        <v/>
      </c>
    </row>
    <row r="49">
      <c r="A49" s="25" t="inlineStr">
        <is>
          <t>WI-044</t>
        </is>
      </c>
      <c r="B49" s="26" t="inlineStr">
        <is>
          <t>M4</t>
        </is>
      </c>
      <c r="C49" s="27" t="inlineStr">
        <is>
          <t>Runtime</t>
        </is>
      </c>
      <c r="D49" s="27" t="inlineStr">
        <is>
          <t>Local policy cache enabling execution without a synchronous control-plane connection</t>
        </is>
      </c>
      <c r="E49" s="22" t="inlineStr">
        <is>
          <t>L</t>
        </is>
      </c>
      <c r="F49" s="14">
        <f>VLOOKUP($E49,Assumptions!$A$8:$C$11,3,FALSE)</f>
        <v/>
      </c>
      <c r="G49" s="14">
        <f>$F49*(1+Assumptions!$C$21)</f>
        <v/>
      </c>
      <c r="H49" s="20" t="n">
        <v>1</v>
      </c>
      <c r="I49" s="20" t="n">
        <v>0</v>
      </c>
      <c r="J49" s="20" t="n">
        <v>0</v>
      </c>
      <c r="K49" s="20" t="n">
        <v>0</v>
      </c>
      <c r="L49" s="23">
        <f>SUM(H49:K49)</f>
        <v/>
      </c>
      <c r="M49" s="14">
        <f>$G49*H49*(1-Assumptions!$C$24)</f>
        <v/>
      </c>
      <c r="N49" s="14">
        <f>$G49*I49*(1-Assumptions!$C$25)</f>
        <v/>
      </c>
      <c r="O49" s="14">
        <f>$G49*J49*(1-Assumptions!$C$26)</f>
        <v/>
      </c>
      <c r="P49" s="14">
        <f>$G49*K49*(1-Assumptions!$C$27)</f>
        <v/>
      </c>
      <c r="Q49" s="24">
        <f>SUM(M49:P49)</f>
        <v/>
      </c>
    </row>
    <row r="50">
      <c r="A50" s="4" t="inlineStr">
        <is>
          <t>WI-045</t>
        </is>
      </c>
      <c r="B50" s="21" t="inlineStr">
        <is>
          <t>M4</t>
        </is>
      </c>
      <c r="C50" s="16" t="inlineStr">
        <is>
          <t>Runtime</t>
        </is>
      </c>
      <c r="D50" s="16" t="inlineStr">
        <is>
          <t>Policy synchronization implemented as an asynchronous process that never blocks the evaluation path</t>
        </is>
      </c>
      <c r="E50" s="22" t="inlineStr">
        <is>
          <t>L</t>
        </is>
      </c>
      <c r="F50" s="14">
        <f>VLOOKUP($E50,Assumptions!$A$8:$C$11,3,FALSE)</f>
        <v/>
      </c>
      <c r="G50" s="14">
        <f>$F50*(1+Assumptions!$C$21)</f>
        <v/>
      </c>
      <c r="H50" s="20" t="n">
        <v>1</v>
      </c>
      <c r="I50" s="20" t="n">
        <v>0</v>
      </c>
      <c r="J50" s="20" t="n">
        <v>0</v>
      </c>
      <c r="K50" s="20" t="n">
        <v>0</v>
      </c>
      <c r="L50" s="23">
        <f>SUM(H50:K50)</f>
        <v/>
      </c>
      <c r="M50" s="14">
        <f>$G50*H50*(1-Assumptions!$C$24)</f>
        <v/>
      </c>
      <c r="N50" s="14">
        <f>$G50*I50*(1-Assumptions!$C$25)</f>
        <v/>
      </c>
      <c r="O50" s="14">
        <f>$G50*J50*(1-Assumptions!$C$26)</f>
        <v/>
      </c>
      <c r="P50" s="14">
        <f>$G50*K50*(1-Assumptions!$C$27)</f>
        <v/>
      </c>
      <c r="Q50" s="24">
        <f>SUM(M50:P50)</f>
        <v/>
      </c>
    </row>
    <row r="51">
      <c r="A51" s="25" t="inlineStr">
        <is>
          <t>WI-046</t>
        </is>
      </c>
      <c r="B51" s="26" t="inlineStr">
        <is>
          <t>M4</t>
        </is>
      </c>
      <c r="C51" s="27" t="inlineStr">
        <is>
          <t>Runtime</t>
        </is>
      </c>
      <c r="D51" s="27" t="inlineStr">
        <is>
          <t>Degraded-mode behavior for a stale local cache defined as an explicit part of the workload's failure behavior</t>
        </is>
      </c>
      <c r="E51" s="22" t="inlineStr">
        <is>
          <t>M</t>
        </is>
      </c>
      <c r="F51" s="14">
        <f>VLOOKUP($E51,Assumptions!$A$8:$C$11,3,FALSE)</f>
        <v/>
      </c>
      <c r="G51" s="14">
        <f>$F51*(1+Assumptions!$C$21)</f>
        <v/>
      </c>
      <c r="H51" s="20" t="n">
        <v>0.8</v>
      </c>
      <c r="I51" s="20" t="n">
        <v>0</v>
      </c>
      <c r="J51" s="20" t="n">
        <v>0.2</v>
      </c>
      <c r="K51" s="20" t="n">
        <v>0</v>
      </c>
      <c r="L51" s="23">
        <f>SUM(H51:K51)</f>
        <v/>
      </c>
      <c r="M51" s="14">
        <f>$G51*H51*(1-Assumptions!$C$24)</f>
        <v/>
      </c>
      <c r="N51" s="14">
        <f>$G51*I51*(1-Assumptions!$C$25)</f>
        <v/>
      </c>
      <c r="O51" s="14">
        <f>$G51*J51*(1-Assumptions!$C$26)</f>
        <v/>
      </c>
      <c r="P51" s="14">
        <f>$G51*K51*(1-Assumptions!$C$27)</f>
        <v/>
      </c>
      <c r="Q51" s="24">
        <f>SUM(M51:P51)</f>
        <v/>
      </c>
    </row>
    <row r="52">
      <c r="A52" s="4" t="inlineStr">
        <is>
          <t>WI-047</t>
        </is>
      </c>
      <c r="B52" s="21" t="inlineStr">
        <is>
          <t>M4</t>
        </is>
      </c>
      <c r="C52" s="16" t="inlineStr">
        <is>
          <t>Runtime</t>
        </is>
      </c>
      <c r="D52" s="16" t="inlineStr">
        <is>
          <t>Customer-controlled telemetry spanning the full range down to a fully supported no-telemetry configuration</t>
        </is>
      </c>
      <c r="E52" s="22" t="inlineStr">
        <is>
          <t>L</t>
        </is>
      </c>
      <c r="F52" s="14">
        <f>VLOOKUP($E52,Assumptions!$A$8:$C$11,3,FALSE)</f>
        <v/>
      </c>
      <c r="G52" s="14">
        <f>$F52*(1+Assumptions!$C$21)</f>
        <v/>
      </c>
      <c r="H52" s="20" t="n">
        <v>0.7</v>
      </c>
      <c r="I52" s="20" t="n">
        <v>0</v>
      </c>
      <c r="J52" s="20" t="n">
        <v>0.3</v>
      </c>
      <c r="K52" s="20" t="n">
        <v>0</v>
      </c>
      <c r="L52" s="23">
        <f>SUM(H52:K52)</f>
        <v/>
      </c>
      <c r="M52" s="14">
        <f>$G52*H52*(1-Assumptions!$C$24)</f>
        <v/>
      </c>
      <c r="N52" s="14">
        <f>$G52*I52*(1-Assumptions!$C$25)</f>
        <v/>
      </c>
      <c r="O52" s="14">
        <f>$G52*J52*(1-Assumptions!$C$26)</f>
        <v/>
      </c>
      <c r="P52" s="14">
        <f>$G52*K52*(1-Assumptions!$C$27)</f>
        <v/>
      </c>
      <c r="Q52" s="24">
        <f>SUM(M52:P52)</f>
        <v/>
      </c>
    </row>
    <row r="53">
      <c r="A53" s="25" t="inlineStr">
        <is>
          <t>WI-048</t>
        </is>
      </c>
      <c r="B53" s="26" t="inlineStr">
        <is>
          <t>M4</t>
        </is>
      </c>
      <c r="C53" s="27" t="inlineStr">
        <is>
          <t>Validation</t>
        </is>
      </c>
      <c r="D53" s="27" t="inlineStr">
        <is>
          <t>Raw content verified never to leave the customer-managed runtime unless the customer has explicitly configured that transmission</t>
        </is>
      </c>
      <c r="E53" s="22" t="inlineStr">
        <is>
          <t>M</t>
        </is>
      </c>
      <c r="F53" s="14">
        <f>VLOOKUP($E53,Assumptions!$A$8:$C$11,3,FALSE)</f>
        <v/>
      </c>
      <c r="G53" s="14">
        <f>$F53*(1+Assumptions!$C$21)</f>
        <v/>
      </c>
      <c r="H53" s="20" t="n">
        <v>0.4</v>
      </c>
      <c r="I53" s="20" t="n">
        <v>0</v>
      </c>
      <c r="J53" s="20" t="n">
        <v>0.6</v>
      </c>
      <c r="K53" s="20" t="n">
        <v>0</v>
      </c>
      <c r="L53" s="23">
        <f>SUM(H53:K53)</f>
        <v/>
      </c>
      <c r="M53" s="14">
        <f>$G53*H53*(1-Assumptions!$C$24)</f>
        <v/>
      </c>
      <c r="N53" s="14">
        <f>$G53*I53*(1-Assumptions!$C$25)</f>
        <v/>
      </c>
      <c r="O53" s="14">
        <f>$G53*J53*(1-Assumptions!$C$26)</f>
        <v/>
      </c>
      <c r="P53" s="14">
        <f>$G53*K53*(1-Assumptions!$C$27)</f>
        <v/>
      </c>
      <c r="Q53" s="24">
        <f>SUM(M53:P53)</f>
        <v/>
      </c>
    </row>
    <row r="54">
      <c r="A54" s="4" t="inlineStr">
        <is>
          <t>WI-049</t>
        </is>
      </c>
      <c r="B54" s="21" t="inlineStr">
        <is>
          <t>M4</t>
        </is>
      </c>
      <c r="C54" s="16" t="inlineStr">
        <is>
          <t>Control plane</t>
        </is>
      </c>
      <c r="D54" s="16" t="inlineStr">
        <is>
          <t>Upgrade compatibility checks validating that a runtime upgrade stays compatible with the policy versions bound to that deployment</t>
        </is>
      </c>
      <c r="E54" s="22" t="inlineStr">
        <is>
          <t>M</t>
        </is>
      </c>
      <c r="F54" s="14">
        <f>VLOOKUP($E54,Assumptions!$A$8:$C$11,3,FALSE)</f>
        <v/>
      </c>
      <c r="G54" s="14">
        <f>$F54*(1+Assumptions!$C$21)</f>
        <v/>
      </c>
      <c r="H54" s="20" t="n">
        <v>1</v>
      </c>
      <c r="I54" s="20" t="n">
        <v>0</v>
      </c>
      <c r="J54" s="20" t="n">
        <v>0</v>
      </c>
      <c r="K54" s="20" t="n">
        <v>0</v>
      </c>
      <c r="L54" s="23">
        <f>SUM(H54:K54)</f>
        <v/>
      </c>
      <c r="M54" s="14">
        <f>$G54*H54*(1-Assumptions!$C$24)</f>
        <v/>
      </c>
      <c r="N54" s="14">
        <f>$G54*I54*(1-Assumptions!$C$25)</f>
        <v/>
      </c>
      <c r="O54" s="14">
        <f>$G54*J54*(1-Assumptions!$C$26)</f>
        <v/>
      </c>
      <c r="P54" s="14">
        <f>$G54*K54*(1-Assumptions!$C$27)</f>
        <v/>
      </c>
      <c r="Q54" s="24">
        <f>SUM(M54:P54)</f>
        <v/>
      </c>
    </row>
    <row r="55">
      <c r="A55" s="25" t="inlineStr">
        <is>
          <t>WI-050</t>
        </is>
      </c>
      <c r="B55" s="26" t="inlineStr">
        <is>
          <t>M4</t>
        </is>
      </c>
      <c r="C55" s="27" t="inlineStr">
        <is>
          <t>Validation</t>
        </is>
      </c>
      <c r="D55" s="27" t="inlineStr">
        <is>
          <t>One customer-managed deployment validated end to end inside a customer-controlled account: local evaluation, cache behavior during a simulated outage, telemetry configuration, upgrade check</t>
        </is>
      </c>
      <c r="E55" s="22" t="inlineStr">
        <is>
          <t>L</t>
        </is>
      </c>
      <c r="F55" s="14">
        <f>VLOOKUP($E55,Assumptions!$A$8:$C$11,3,FALSE)</f>
        <v/>
      </c>
      <c r="G55" s="14">
        <f>$F55*(1+Assumptions!$C$21)</f>
        <v/>
      </c>
      <c r="H55" s="20" t="n">
        <v>0.4</v>
      </c>
      <c r="I55" s="20" t="n">
        <v>0.2</v>
      </c>
      <c r="J55" s="20" t="n">
        <v>0</v>
      </c>
      <c r="K55" s="20" t="n">
        <v>0.4</v>
      </c>
      <c r="L55" s="23">
        <f>SUM(H55:K55)</f>
        <v/>
      </c>
      <c r="M55" s="14">
        <f>$G55*H55*(1-Assumptions!$C$24)</f>
        <v/>
      </c>
      <c r="N55" s="14">
        <f>$G55*I55*(1-Assumptions!$C$25)</f>
        <v/>
      </c>
      <c r="O55" s="14">
        <f>$G55*J55*(1-Assumptions!$C$26)</f>
        <v/>
      </c>
      <c r="P55" s="14">
        <f>$G55*K55*(1-Assumptions!$C$27)</f>
        <v/>
      </c>
      <c r="Q55" s="24">
        <f>SUM(M55:P55)</f>
        <v/>
      </c>
    </row>
    <row r="56">
      <c r="A56" s="4" t="inlineStr">
        <is>
          <t>WI-051</t>
        </is>
      </c>
      <c r="B56" s="21" t="inlineStr">
        <is>
          <t>M4</t>
        </is>
      </c>
      <c r="C56" s="16" t="inlineStr">
        <is>
          <t>Contract</t>
        </is>
      </c>
      <c r="D56" s="16" t="inlineStr">
        <is>
          <t>Connector invocation contract verified unchanged between hosted and customer-managed deployments — MVP-09 in shipped form</t>
        </is>
      </c>
      <c r="E56" s="22" t="inlineStr">
        <is>
          <t>S</t>
        </is>
      </c>
      <c r="F56" s="14">
        <f>VLOOKUP($E56,Assumptions!$A$8:$C$11,3,FALSE)</f>
        <v/>
      </c>
      <c r="G56" s="14">
        <f>$F56*(1+Assumptions!$C$21)</f>
        <v/>
      </c>
      <c r="H56" s="20" t="n">
        <v>1</v>
      </c>
      <c r="I56" s="20" t="n">
        <v>0</v>
      </c>
      <c r="J56" s="20" t="n">
        <v>0</v>
      </c>
      <c r="K56" s="20" t="n">
        <v>0</v>
      </c>
      <c r="L56" s="23">
        <f>SUM(H56:K56)</f>
        <v/>
      </c>
      <c r="M56" s="14">
        <f>$G56*H56*(1-Assumptions!$C$24)</f>
        <v/>
      </c>
      <c r="N56" s="14">
        <f>$G56*I56*(1-Assumptions!$C$25)</f>
        <v/>
      </c>
      <c r="O56" s="14">
        <f>$G56*J56*(1-Assumptions!$C$26)</f>
        <v/>
      </c>
      <c r="P56" s="14">
        <f>$G56*K56*(1-Assumptions!$C$27)</f>
        <v/>
      </c>
      <c r="Q56" s="24">
        <f>SUM(M56:P56)</f>
        <v/>
      </c>
    </row>
    <row r="57">
      <c r="A57" s="25" t="inlineStr">
        <is>
          <t>WI-052</t>
        </is>
      </c>
      <c r="B57" s="26" t="inlineStr">
        <is>
          <t>M5</t>
        </is>
      </c>
      <c r="C57" s="27" t="inlineStr">
        <is>
          <t>Evaluation</t>
        </is>
      </c>
      <c r="D57" s="27" t="inlineStr">
        <is>
          <t>Retrieval-content evaluation available as an evaluator behind the existing adapter pattern, without redesigning the evaluation contract</t>
        </is>
      </c>
      <c r="E57" s="22" t="inlineStr">
        <is>
          <t>L</t>
        </is>
      </c>
      <c r="F57" s="14">
        <f>VLOOKUP($E57,Assumptions!$A$8:$C$11,3,FALSE)</f>
        <v/>
      </c>
      <c r="G57" s="14">
        <f>$F57*(1+Assumptions!$C$21)</f>
        <v/>
      </c>
      <c r="H57" s="20" t="n">
        <v>1</v>
      </c>
      <c r="I57" s="20" t="n">
        <v>0</v>
      </c>
      <c r="J57" s="20" t="n">
        <v>0</v>
      </c>
      <c r="K57" s="20" t="n">
        <v>0</v>
      </c>
      <c r="L57" s="23">
        <f>SUM(H57:K57)</f>
        <v/>
      </c>
      <c r="M57" s="14">
        <f>$G57*H57*(1-Assumptions!$C$24)</f>
        <v/>
      </c>
      <c r="N57" s="14">
        <f>$G57*I57*(1-Assumptions!$C$25)</f>
        <v/>
      </c>
      <c r="O57" s="14">
        <f>$G57*J57*(1-Assumptions!$C$26)</f>
        <v/>
      </c>
      <c r="P57" s="14">
        <f>$G57*K57*(1-Assumptions!$C$27)</f>
        <v/>
      </c>
      <c r="Q57" s="24">
        <f>SUM(M57:P57)</f>
        <v/>
      </c>
    </row>
    <row r="58">
      <c r="A58" s="4" t="inlineStr">
        <is>
          <t>WI-053</t>
        </is>
      </c>
      <c r="B58" s="21" t="inlineStr">
        <is>
          <t>M5</t>
        </is>
      </c>
      <c r="C58" s="16" t="inlineStr">
        <is>
          <t>Evaluation</t>
        </is>
      </c>
      <c r="D58" s="16" t="inlineStr">
        <is>
          <t>Indirect prompt-injection detection available as a new evaluator behind the same adapter pattern</t>
        </is>
      </c>
      <c r="E58" s="22" t="inlineStr">
        <is>
          <t>XL</t>
        </is>
      </c>
      <c r="F58" s="14">
        <f>VLOOKUP($E58,Assumptions!$A$8:$C$11,3,FALSE)</f>
        <v/>
      </c>
      <c r="G58" s="14">
        <f>$F58*(1+Assumptions!$C$21)</f>
        <v/>
      </c>
      <c r="H58" s="20" t="n">
        <v>1</v>
      </c>
      <c r="I58" s="20" t="n">
        <v>0</v>
      </c>
      <c r="J58" s="20" t="n">
        <v>0</v>
      </c>
      <c r="K58" s="20" t="n">
        <v>0</v>
      </c>
      <c r="L58" s="23">
        <f>SUM(H58:K58)</f>
        <v/>
      </c>
      <c r="M58" s="14">
        <f>$G58*H58*(1-Assumptions!$C$24)</f>
        <v/>
      </c>
      <c r="N58" s="14">
        <f>$G58*I58*(1-Assumptions!$C$25)</f>
        <v/>
      </c>
      <c r="O58" s="14">
        <f>$G58*J58*(1-Assumptions!$C$26)</f>
        <v/>
      </c>
      <c r="P58" s="14">
        <f>$G58*K58*(1-Assumptions!$C$27)</f>
        <v/>
      </c>
      <c r="Q58" s="24">
        <f>SUM(M58:P58)</f>
        <v/>
      </c>
    </row>
    <row r="59">
      <c r="A59" s="25" t="inlineStr">
        <is>
          <t>WI-054</t>
        </is>
      </c>
      <c r="B59" s="26" t="inlineStr">
        <is>
          <t>M5</t>
        </is>
      </c>
      <c r="C59" s="27" t="inlineStr">
        <is>
          <t>Evaluation</t>
        </is>
      </c>
      <c r="D59" s="27" t="inlineStr">
        <is>
          <t>Tool-call validation using the tool_call evaluation stage</t>
        </is>
      </c>
      <c r="E59" s="22" t="inlineStr">
        <is>
          <t>L</t>
        </is>
      </c>
      <c r="F59" s="14">
        <f>VLOOKUP($E59,Assumptions!$A$8:$C$11,3,FALSE)</f>
        <v/>
      </c>
      <c r="G59" s="14">
        <f>$F59*(1+Assumptions!$C$21)</f>
        <v/>
      </c>
      <c r="H59" s="20" t="n">
        <v>1</v>
      </c>
      <c r="I59" s="20" t="n">
        <v>0</v>
      </c>
      <c r="J59" s="20" t="n">
        <v>0</v>
      </c>
      <c r="K59" s="20" t="n">
        <v>0</v>
      </c>
      <c r="L59" s="23">
        <f>SUM(H59:K59)</f>
        <v/>
      </c>
      <c r="M59" s="14">
        <f>$G59*H59*(1-Assumptions!$C$24)</f>
        <v/>
      </c>
      <c r="N59" s="14">
        <f>$G59*I59*(1-Assumptions!$C$25)</f>
        <v/>
      </c>
      <c r="O59" s="14">
        <f>$G59*J59*(1-Assumptions!$C$26)</f>
        <v/>
      </c>
      <c r="P59" s="14">
        <f>$G59*K59*(1-Assumptions!$C$27)</f>
        <v/>
      </c>
      <c r="Q59" s="24">
        <f>SUM(M59:P59)</f>
        <v/>
      </c>
    </row>
    <row r="60">
      <c r="A60" s="4" t="inlineStr">
        <is>
          <t>WI-055</t>
        </is>
      </c>
      <c r="B60" s="21" t="inlineStr">
        <is>
          <t>M5</t>
        </is>
      </c>
      <c r="C60" s="16" t="inlineStr">
        <is>
          <t>Evaluation</t>
        </is>
      </c>
      <c r="D60" s="16" t="inlineStr">
        <is>
          <t>Tool-result evaluation using the tool_result evaluation stage</t>
        </is>
      </c>
      <c r="E60" s="22" t="inlineStr">
        <is>
          <t>L</t>
        </is>
      </c>
      <c r="F60" s="14">
        <f>VLOOKUP($E60,Assumptions!$A$8:$C$11,3,FALSE)</f>
        <v/>
      </c>
      <c r="G60" s="14">
        <f>$F60*(1+Assumptions!$C$21)</f>
        <v/>
      </c>
      <c r="H60" s="20" t="n">
        <v>1</v>
      </c>
      <c r="I60" s="20" t="n">
        <v>0</v>
      </c>
      <c r="J60" s="20" t="n">
        <v>0</v>
      </c>
      <c r="K60" s="20" t="n">
        <v>0</v>
      </c>
      <c r="L60" s="23">
        <f>SUM(H60:K60)</f>
        <v/>
      </c>
      <c r="M60" s="14">
        <f>$G60*H60*(1-Assumptions!$C$24)</f>
        <v/>
      </c>
      <c r="N60" s="14">
        <f>$G60*I60*(1-Assumptions!$C$25)</f>
        <v/>
      </c>
      <c r="O60" s="14">
        <f>$G60*J60*(1-Assumptions!$C$26)</f>
        <v/>
      </c>
      <c r="P60" s="14">
        <f>$G60*K60*(1-Assumptions!$C$27)</f>
        <v/>
      </c>
      <c r="Q60" s="24">
        <f>SUM(M60:P60)</f>
        <v/>
      </c>
    </row>
    <row r="61">
      <c r="A61" s="25" t="inlineStr">
        <is>
          <t>WI-056</t>
        </is>
      </c>
      <c r="B61" s="26" t="inlineStr">
        <is>
          <t>M5</t>
        </is>
      </c>
      <c r="C61" s="27" t="inlineStr">
        <is>
          <t>Evaluation</t>
        </is>
      </c>
      <c r="D61" s="27" t="inlineStr">
        <is>
          <t>Memory-write controls using the memory_write evaluation stage, fitted to the existing Evaluation and Decision entities</t>
        </is>
      </c>
      <c r="E61" s="22" t="inlineStr">
        <is>
          <t>L</t>
        </is>
      </c>
      <c r="F61" s="14">
        <f>VLOOKUP($E61,Assumptions!$A$8:$C$11,3,FALSE)</f>
        <v/>
      </c>
      <c r="G61" s="14">
        <f>$F61*(1+Assumptions!$C$21)</f>
        <v/>
      </c>
      <c r="H61" s="20" t="n">
        <v>1</v>
      </c>
      <c r="I61" s="20" t="n">
        <v>0</v>
      </c>
      <c r="J61" s="20" t="n">
        <v>0</v>
      </c>
      <c r="K61" s="20" t="n">
        <v>0</v>
      </c>
      <c r="L61" s="23">
        <f>SUM(H61:K61)</f>
        <v/>
      </c>
      <c r="M61" s="14">
        <f>$G61*H61*(1-Assumptions!$C$24)</f>
        <v/>
      </c>
      <c r="N61" s="14">
        <f>$G61*I61*(1-Assumptions!$C$25)</f>
        <v/>
      </c>
      <c r="O61" s="14">
        <f>$G61*J61*(1-Assumptions!$C$26)</f>
        <v/>
      </c>
      <c r="P61" s="14">
        <f>$G61*K61*(1-Assumptions!$C$27)</f>
        <v/>
      </c>
      <c r="Q61" s="24">
        <f>SUM(M61:P61)</f>
        <v/>
      </c>
    </row>
    <row r="62">
      <c r="A62" s="4" t="inlineStr">
        <is>
          <t>WI-057</t>
        </is>
      </c>
      <c r="B62" s="21" t="inlineStr">
        <is>
          <t>M5</t>
        </is>
      </c>
      <c r="C62" s="16" t="inlineStr">
        <is>
          <t>Control plane</t>
        </is>
      </c>
      <c r="D62" s="16" t="inlineStr">
        <is>
          <t>Human approval workflows for the require_approval decision action, which is reserved in the schema but has no owning workflow before this milestone</t>
        </is>
      </c>
      <c r="E62" s="22" t="inlineStr">
        <is>
          <t>XL</t>
        </is>
      </c>
      <c r="F62" s="14">
        <f>VLOOKUP($E62,Assumptions!$A$8:$C$11,3,FALSE)</f>
        <v/>
      </c>
      <c r="G62" s="14">
        <f>$F62*(1+Assumptions!$C$21)</f>
        <v/>
      </c>
      <c r="H62" s="20" t="n">
        <v>0.7</v>
      </c>
      <c r="I62" s="20" t="n">
        <v>0</v>
      </c>
      <c r="J62" s="20" t="n">
        <v>0.3</v>
      </c>
      <c r="K62" s="20" t="n">
        <v>0</v>
      </c>
      <c r="L62" s="23">
        <f>SUM(H62:K62)</f>
        <v/>
      </c>
      <c r="M62" s="14">
        <f>$G62*H62*(1-Assumptions!$C$24)</f>
        <v/>
      </c>
      <c r="N62" s="14">
        <f>$G62*I62*(1-Assumptions!$C$25)</f>
        <v/>
      </c>
      <c r="O62" s="14">
        <f>$G62*J62*(1-Assumptions!$C$26)</f>
        <v/>
      </c>
      <c r="P62" s="14">
        <f>$G62*K62*(1-Assumptions!$C$27)</f>
        <v/>
      </c>
      <c r="Q62" s="24">
        <f>SUM(M62:P62)</f>
        <v/>
      </c>
    </row>
    <row r="63">
      <c r="A63" s="25" t="inlineStr">
        <is>
          <t>WI-058</t>
        </is>
      </c>
      <c r="B63" s="26" t="inlineStr">
        <is>
          <t>M5</t>
        </is>
      </c>
      <c r="C63" s="27" t="inlineStr">
        <is>
          <t>Evaluation</t>
        </is>
      </c>
      <c r="D63" s="27" t="inlineStr">
        <is>
          <t>Agent delegation restrictions</t>
        </is>
      </c>
      <c r="E63" s="22" t="inlineStr">
        <is>
          <t>L</t>
        </is>
      </c>
      <c r="F63" s="14">
        <f>VLOOKUP($E63,Assumptions!$A$8:$C$11,3,FALSE)</f>
        <v/>
      </c>
      <c r="G63" s="14">
        <f>$F63*(1+Assumptions!$C$21)</f>
        <v/>
      </c>
      <c r="H63" s="20" t="n">
        <v>1</v>
      </c>
      <c r="I63" s="20" t="n">
        <v>0</v>
      </c>
      <c r="J63" s="20" t="n">
        <v>0</v>
      </c>
      <c r="K63" s="20" t="n">
        <v>0</v>
      </c>
      <c r="L63" s="23">
        <f>SUM(H63:K63)</f>
        <v/>
      </c>
      <c r="M63" s="14">
        <f>$G63*H63*(1-Assumptions!$C$24)</f>
        <v/>
      </c>
      <c r="N63" s="14">
        <f>$G63*I63*(1-Assumptions!$C$25)</f>
        <v/>
      </c>
      <c r="O63" s="14">
        <f>$G63*J63*(1-Assumptions!$C$26)</f>
        <v/>
      </c>
      <c r="P63" s="14">
        <f>$G63*K63*(1-Assumptions!$C$27)</f>
        <v/>
      </c>
      <c r="Q63" s="24">
        <f>SUM(M63:P63)</f>
        <v/>
      </c>
    </row>
    <row r="64">
      <c r="A64" s="4" t="inlineStr">
        <is>
          <t>WI-059</t>
        </is>
      </c>
      <c r="B64" s="21" t="inlineStr">
        <is>
          <t>M5</t>
        </is>
      </c>
      <c r="C64" s="16" t="inlineStr">
        <is>
          <t>Integration</t>
        </is>
      </c>
      <c r="D64" s="16" t="inlineStr">
        <is>
          <t>MCP integration scoped narrowly to the platform's own tool-call evaluation, explicitly distinguished from a general-purpose MCP security platform</t>
        </is>
      </c>
      <c r="E64" s="22" t="inlineStr">
        <is>
          <t>L</t>
        </is>
      </c>
      <c r="F64" s="14">
        <f>VLOOKUP($E64,Assumptions!$A$8:$C$11,3,FALSE)</f>
        <v/>
      </c>
      <c r="G64" s="14">
        <f>$F64*(1+Assumptions!$C$21)</f>
        <v/>
      </c>
      <c r="H64" s="20" t="n">
        <v>0.8</v>
      </c>
      <c r="I64" s="20" t="n">
        <v>0</v>
      </c>
      <c r="J64" s="20" t="n">
        <v>0.2</v>
      </c>
      <c r="K64" s="20" t="n">
        <v>0</v>
      </c>
      <c r="L64" s="23">
        <f>SUM(H64:K64)</f>
        <v/>
      </c>
      <c r="M64" s="14">
        <f>$G64*H64*(1-Assumptions!$C$24)</f>
        <v/>
      </c>
      <c r="N64" s="14">
        <f>$G64*I64*(1-Assumptions!$C$25)</f>
        <v/>
      </c>
      <c r="O64" s="14">
        <f>$G64*J64*(1-Assumptions!$C$26)</f>
        <v/>
      </c>
      <c r="P64" s="14">
        <f>$G64*K64*(1-Assumptions!$C$27)</f>
        <v/>
      </c>
      <c r="Q64" s="24">
        <f>SUM(M64:P64)</f>
        <v/>
      </c>
    </row>
    <row r="65">
      <c r="A65" s="25" t="inlineStr">
        <is>
          <t>WI-060</t>
        </is>
      </c>
      <c r="B65" s="26" t="inlineStr">
        <is>
          <t>M5</t>
        </is>
      </c>
      <c r="C65" s="27" t="inlineStr">
        <is>
          <t>Integration</t>
        </is>
      </c>
      <c r="D65" s="27" t="inlineStr">
        <is>
          <t>Advanced authorization integration, without redefining a guardrail decision as a business-authorization decision</t>
        </is>
      </c>
      <c r="E65" s="22" t="inlineStr">
        <is>
          <t>L</t>
        </is>
      </c>
      <c r="F65" s="14">
        <f>VLOOKUP($E65,Assumptions!$A$8:$C$11,3,FALSE)</f>
        <v/>
      </c>
      <c r="G65" s="14">
        <f>$F65*(1+Assumptions!$C$21)</f>
        <v/>
      </c>
      <c r="H65" s="20" t="n">
        <v>0.7</v>
      </c>
      <c r="I65" s="20" t="n">
        <v>0</v>
      </c>
      <c r="J65" s="20" t="n">
        <v>0.3</v>
      </c>
      <c r="K65" s="20" t="n">
        <v>0</v>
      </c>
      <c r="L65" s="23">
        <f>SUM(H65:K65)</f>
        <v/>
      </c>
      <c r="M65" s="14">
        <f>$G65*H65*(1-Assumptions!$C$24)</f>
        <v/>
      </c>
      <c r="N65" s="14">
        <f>$G65*I65*(1-Assumptions!$C$25)</f>
        <v/>
      </c>
      <c r="O65" s="14">
        <f>$G65*J65*(1-Assumptions!$C$26)</f>
        <v/>
      </c>
      <c r="P65" s="14">
        <f>$G65*K65*(1-Assumptions!$C$27)</f>
        <v/>
      </c>
      <c r="Q65" s="24">
        <f>SUM(M65:P65)</f>
        <v/>
      </c>
    </row>
    <row r="66">
      <c r="D66" s="8" t="inlineStr">
        <is>
          <t>Total</t>
        </is>
      </c>
      <c r="G66" s="24">
        <f>SUM(G6:G65)</f>
        <v/>
      </c>
      <c r="M66" s="24">
        <f>SUM(M6:M65)</f>
        <v/>
      </c>
      <c r="N66" s="24">
        <f>SUM(N6:N65)</f>
        <v/>
      </c>
      <c r="O66" s="24">
        <f>SUM(O6:O65)</f>
        <v/>
      </c>
      <c r="P66" s="24">
        <f>SUM(P6:P65)</f>
        <v/>
      </c>
      <c r="Q66" s="24">
        <f>SUM(Q6:Q65)</f>
        <v/>
      </c>
    </row>
  </sheetData>
  <autoFilter ref="A5:Q65"/>
  <mergeCells count="2">
    <mergeCell ref="A2:Q2"/>
    <mergeCell ref="A1:Q1"/>
  </mergeCells>
  <conditionalFormatting sqref="L6:L65">
    <cfRule type="expression" priority="1" dxfId="0" stopIfTrue="0">
      <formula>ABS($L6-1)&gt;0.0001</formula>
    </cfRule>
  </conditionalFormatting>
  <conditionalFormatting sqref="E6:E65">
    <cfRule type="expression" priority="2" dxfId="0" stopIfTrue="0">
      <formula>ISNA($F6)</formula>
    </cfRule>
  </conditionalFormatting>
  <dataValidations count="1">
    <dataValidation sqref="E6:E65" showDropDown="0" showInputMessage="0" showErrorMessage="1" allowBlank="0" errorTitle="Unknown size" error="Size must be one of S, M, L, XL. Anything else breaks every total in this workbook." type="list">
      <formula1>"S,M,L,XL"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showGridLines="0" workbookViewId="0">
      <pane ySplit="4" topLeftCell="A5" activePane="bottomLeft" state="frozen"/>
      <selection pane="bottomLeft" activeCell="A1" sqref="A1"/>
    </sheetView>
  </sheetViews>
  <sheetFormatPr baseColWidth="8" defaultRowHeight="15"/>
  <cols>
    <col width="10" customWidth="1" min="1" max="1"/>
    <col width="26" customWidth="1" min="2" max="2"/>
    <col width="11" customWidth="1" min="3" max="3"/>
    <col width="11" customWidth="1" min="4" max="4"/>
    <col width="11" customWidth="1" min="5" max="5"/>
    <col width="11" customWidth="1" min="6" max="6"/>
    <col width="11" customWidth="1" min="7" max="7"/>
    <col width="13" customWidth="1" min="8" max="8"/>
    <col width="14" customWidth="1" min="9" max="9"/>
    <col width="12" customWidth="1" min="10" max="10"/>
    <col width="11" customWidth="1" min="11" max="11"/>
    <col width="11" customWidth="1" min="12" max="12"/>
    <col width="15" customWidth="1" min="13" max="13"/>
  </cols>
  <sheetData>
    <row r="1">
      <c r="A1" s="1" t="inlineStr">
        <is>
          <t>Effort by role</t>
        </is>
      </c>
    </row>
    <row r="2" ht="32" customHeight="1">
      <c r="A2" s="2" t="inlineStr">
        <is>
          <t>Every cell is a formula over Work items and Assumptions. Milestone columns are net of each role's AI-assistance reduction; the two columns after the total show what that reduction removed.</t>
        </is>
      </c>
    </row>
    <row r="4" ht="30" customHeight="1">
      <c r="A4" s="10" t="inlineStr">
        <is>
          <t>Role</t>
        </is>
      </c>
      <c r="B4" s="10" t="inlineStr">
        <is>
          <t>Name</t>
        </is>
      </c>
      <c r="C4" s="10" t="inlineStr">
        <is>
          <t>M1</t>
        </is>
      </c>
      <c r="D4" s="10" t="inlineStr">
        <is>
          <t>M2</t>
        </is>
      </c>
      <c r="E4" s="10" t="inlineStr">
        <is>
          <t>M3</t>
        </is>
      </c>
      <c r="F4" s="10" t="inlineStr">
        <is>
          <t>M4</t>
        </is>
      </c>
      <c r="G4" s="10" t="inlineStr">
        <is>
          <t>M5</t>
        </is>
      </c>
      <c r="H4" s="10" t="inlineStr">
        <is>
          <t>Total days</t>
        </is>
      </c>
      <c r="I4" s="10" t="inlineStr">
        <is>
          <t>Before assist</t>
        </is>
      </c>
      <c r="J4" s="10" t="inlineStr">
        <is>
          <t>Removed</t>
        </is>
      </c>
      <c r="K4" s="10" t="inlineStr">
        <is>
          <t>AI assist</t>
        </is>
      </c>
      <c r="L4" s="10" t="inlineStr">
        <is>
          <t>Day rate</t>
        </is>
      </c>
      <c r="M4" s="10" t="inlineStr">
        <is>
          <t>Cost</t>
        </is>
      </c>
    </row>
    <row r="5">
      <c r="A5" s="8" t="inlineStr">
        <is>
          <t>AIG</t>
        </is>
      </c>
      <c r="B5" s="16" t="inlineStr">
        <is>
          <t>AI Guardrails team</t>
        </is>
      </c>
      <c r="C5" s="14">
        <f>SUMIF('Work items'!$B$6:$B$65,"M1",'Work items'!$M$6:$M$65)</f>
        <v/>
      </c>
      <c r="D5" s="14">
        <f>SUMIF('Work items'!$B$6:$B$65,"M2",'Work items'!$M$6:$M$65)</f>
        <v/>
      </c>
      <c r="E5" s="14">
        <f>SUMIF('Work items'!$B$6:$B$65,"M3",'Work items'!$M$6:$M$65)</f>
        <v/>
      </c>
      <c r="F5" s="14">
        <f>SUMIF('Work items'!$B$6:$B$65,"M4",'Work items'!$M$6:$M$65)</f>
        <v/>
      </c>
      <c r="G5" s="14">
        <f>SUMIF('Work items'!$B$6:$B$65,"M5",'Work items'!$M$6:$M$65)</f>
        <v/>
      </c>
      <c r="H5" s="24">
        <f>SUM(C5:G5)</f>
        <v/>
      </c>
      <c r="I5" s="14">
        <f>SUMPRODUCT('Work items'!$G$6:$G$65,'Work items'!$H$6:$H$65)</f>
        <v/>
      </c>
      <c r="J5" s="14">
        <f>I5-H5</f>
        <v/>
      </c>
      <c r="K5" s="23">
        <f>Assumptions!$C$24</f>
        <v/>
      </c>
      <c r="L5" s="28">
        <f>IF(Assumptions!$C$15="","",Assumptions!$C$15)</f>
        <v/>
      </c>
      <c r="M5" s="28">
        <f>IF(Assumptions!$C$15="","",H5*Assumptions!$C$15)</f>
        <v/>
      </c>
    </row>
    <row r="6">
      <c r="A6" s="29" t="inlineStr">
        <is>
          <t>OPS</t>
        </is>
      </c>
      <c r="B6" s="27" t="inlineStr">
        <is>
          <t>Platform operations</t>
        </is>
      </c>
      <c r="C6" s="14">
        <f>SUMIF('Work items'!$B$6:$B$65,"M1",'Work items'!$N$6:$N$65)</f>
        <v/>
      </c>
      <c r="D6" s="14">
        <f>SUMIF('Work items'!$B$6:$B$65,"M2",'Work items'!$N$6:$N$65)</f>
        <v/>
      </c>
      <c r="E6" s="14">
        <f>SUMIF('Work items'!$B$6:$B$65,"M3",'Work items'!$N$6:$N$65)</f>
        <v/>
      </c>
      <c r="F6" s="14">
        <f>SUMIF('Work items'!$B$6:$B$65,"M4",'Work items'!$N$6:$N$65)</f>
        <v/>
      </c>
      <c r="G6" s="14">
        <f>SUMIF('Work items'!$B$6:$B$65,"M5",'Work items'!$N$6:$N$65)</f>
        <v/>
      </c>
      <c r="H6" s="24">
        <f>SUM(C6:G6)</f>
        <v/>
      </c>
      <c r="I6" s="14">
        <f>SUMPRODUCT('Work items'!$G$6:$G$65,'Work items'!$I$6:$I$65)</f>
        <v/>
      </c>
      <c r="J6" s="14">
        <f>I6-H6</f>
        <v/>
      </c>
      <c r="K6" s="23">
        <f>Assumptions!$C$25</f>
        <v/>
      </c>
      <c r="L6" s="28">
        <f>IF(Assumptions!$C$16="","",Assumptions!$C$16)</f>
        <v/>
      </c>
      <c r="M6" s="28">
        <f>IF(Assumptions!$C$16="","",H6*Assumptions!$C$16)</f>
        <v/>
      </c>
    </row>
    <row r="7">
      <c r="A7" s="8" t="inlineStr">
        <is>
          <t>SEC</t>
        </is>
      </c>
      <c r="B7" s="16" t="inlineStr">
        <is>
          <t>Security and governance</t>
        </is>
      </c>
      <c r="C7" s="14">
        <f>SUMIF('Work items'!$B$6:$B$65,"M1",'Work items'!$O$6:$O$65)</f>
        <v/>
      </c>
      <c r="D7" s="14">
        <f>SUMIF('Work items'!$B$6:$B$65,"M2",'Work items'!$O$6:$O$65)</f>
        <v/>
      </c>
      <c r="E7" s="14">
        <f>SUMIF('Work items'!$B$6:$B$65,"M3",'Work items'!$O$6:$O$65)</f>
        <v/>
      </c>
      <c r="F7" s="14">
        <f>SUMIF('Work items'!$B$6:$B$65,"M4",'Work items'!$O$6:$O$65)</f>
        <v/>
      </c>
      <c r="G7" s="14">
        <f>SUMIF('Work items'!$B$6:$B$65,"M5",'Work items'!$O$6:$O$65)</f>
        <v/>
      </c>
      <c r="H7" s="24">
        <f>SUM(C7:G7)</f>
        <v/>
      </c>
      <c r="I7" s="14">
        <f>SUMPRODUCT('Work items'!$G$6:$G$65,'Work items'!$J$6:$J$65)</f>
        <v/>
      </c>
      <c r="J7" s="14">
        <f>I7-H7</f>
        <v/>
      </c>
      <c r="K7" s="23">
        <f>Assumptions!$C$26</f>
        <v/>
      </c>
      <c r="L7" s="28">
        <f>IF(Assumptions!$C$17="","",Assumptions!$C$17)</f>
        <v/>
      </c>
      <c r="M7" s="28">
        <f>IF(Assumptions!$C$17="","",H7*Assumptions!$C$17)</f>
        <v/>
      </c>
    </row>
    <row r="8">
      <c r="A8" s="29" t="inlineStr">
        <is>
          <t>CONS</t>
        </is>
      </c>
      <c r="B8" s="27" t="inlineStr">
        <is>
          <t>Consuming teams</t>
        </is>
      </c>
      <c r="C8" s="14">
        <f>SUMIF('Work items'!$B$6:$B$65,"M1",'Work items'!$P$6:$P$65)</f>
        <v/>
      </c>
      <c r="D8" s="14">
        <f>SUMIF('Work items'!$B$6:$B$65,"M2",'Work items'!$P$6:$P$65)</f>
        <v/>
      </c>
      <c r="E8" s="14">
        <f>SUMIF('Work items'!$B$6:$B$65,"M3",'Work items'!$P$6:$P$65)</f>
        <v/>
      </c>
      <c r="F8" s="14">
        <f>SUMIF('Work items'!$B$6:$B$65,"M4",'Work items'!$P$6:$P$65)</f>
        <v/>
      </c>
      <c r="G8" s="14">
        <f>SUMIF('Work items'!$B$6:$B$65,"M5",'Work items'!$P$6:$P$65)</f>
        <v/>
      </c>
      <c r="H8" s="24">
        <f>SUM(C8:G8)</f>
        <v/>
      </c>
      <c r="I8" s="14">
        <f>SUMPRODUCT('Work items'!$G$6:$G$65,'Work items'!$K$6:$K$65)</f>
        <v/>
      </c>
      <c r="J8" s="14">
        <f>I8-H8</f>
        <v/>
      </c>
      <c r="K8" s="23">
        <f>Assumptions!$C$27</f>
        <v/>
      </c>
      <c r="L8" s="28">
        <f>IF(Assumptions!$C$18="","",Assumptions!$C$18)</f>
        <v/>
      </c>
      <c r="M8" s="28">
        <f>IF(Assumptions!$C$18="","",H8*Assumptions!$C$18)</f>
        <v/>
      </c>
    </row>
    <row r="9">
      <c r="B9" s="4" t="inlineStr">
        <is>
          <t>Total</t>
        </is>
      </c>
      <c r="C9" s="24">
        <f>SUM(C5:C8)</f>
        <v/>
      </c>
      <c r="D9" s="24">
        <f>SUM(D5:D8)</f>
        <v/>
      </c>
      <c r="E9" s="24">
        <f>SUM(E5:E8)</f>
        <v/>
      </c>
      <c r="F9" s="24">
        <f>SUM(F5:F8)</f>
        <v/>
      </c>
      <c r="G9" s="24">
        <f>SUM(G5:G8)</f>
        <v/>
      </c>
      <c r="H9" s="24">
        <f>SUM(H5:H8)</f>
        <v/>
      </c>
      <c r="I9" s="24">
        <f>SUM(I5:I8)</f>
        <v/>
      </c>
      <c r="J9" s="24">
        <f>SUM(J5:J8)</f>
        <v/>
      </c>
      <c r="M9" s="30">
        <f>IF(COUNT(Assumptions!$C$15:$C$18)=0,"",SUM(M5:M8))</f>
        <v/>
      </c>
    </row>
    <row r="11" ht="18" customHeight="1">
      <c r="A11" s="7" t="inlineStr">
        <is>
          <t>Cost stays blank until a day rate is set on Assumptions. With only some rates set, the total covers only those roles.</t>
        </is>
      </c>
    </row>
  </sheetData>
  <mergeCells count="3">
    <mergeCell ref="A2:M2"/>
    <mergeCell ref="A11:M11"/>
    <mergeCell ref="A1:M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11" customWidth="1" min="3" max="3"/>
    <col width="11" customWidth="1" min="4" max="4"/>
    <col width="11" customWidth="1" min="5" max="5"/>
    <col width="11" customWidth="1" min="6" max="6"/>
    <col width="11" customWidth="1" min="7" max="7"/>
    <col width="13" customWidth="1" min="8" max="8"/>
    <col width="13" customWidth="1" min="9" max="9"/>
    <col width="15" customWidth="1" min="10" max="10"/>
  </cols>
  <sheetData>
    <row r="1">
      <c r="A1" s="1" t="inlineStr">
        <is>
          <t>Effort by milestone</t>
        </is>
      </c>
    </row>
    <row r="2" ht="32" customHeight="1">
      <c r="A2" s="2" t="inlineStr">
        <is>
          <t>The same model rolled up the other way, net of AI assistance. Milestone order is dependency sequencing — it carries no dates and implies no schedule.</t>
        </is>
      </c>
    </row>
    <row r="4" ht="30" customHeight="1">
      <c r="A4" s="10" t="inlineStr">
        <is>
          <t>Milestone</t>
        </is>
      </c>
      <c r="B4" s="10" t="inlineStr">
        <is>
          <t>Name</t>
        </is>
      </c>
      <c r="C4" s="10" t="inlineStr">
        <is>
          <t>Phase</t>
        </is>
      </c>
      <c r="D4" s="10" t="inlineStr">
        <is>
          <t>AIG days</t>
        </is>
      </c>
      <c r="E4" s="10" t="inlineStr">
        <is>
          <t>OPS days</t>
        </is>
      </c>
      <c r="F4" s="10" t="inlineStr">
        <is>
          <t>SEC days</t>
        </is>
      </c>
      <c r="G4" s="10" t="inlineStr">
        <is>
          <t>CONS days</t>
        </is>
      </c>
      <c r="H4" s="10" t="inlineStr">
        <is>
          <t>Total days</t>
        </is>
      </c>
      <c r="I4" s="10" t="inlineStr">
        <is>
          <t>Work items</t>
        </is>
      </c>
      <c r="J4" s="10" t="inlineStr">
        <is>
          <t>Cost</t>
        </is>
      </c>
    </row>
    <row r="5">
      <c r="A5" s="8" t="inlineStr">
        <is>
          <t>M1</t>
        </is>
      </c>
      <c r="B5" s="16" t="inlineStr">
        <is>
          <t>Integration proof</t>
        </is>
      </c>
      <c r="C5" s="21" t="inlineStr">
        <is>
          <t>Phase 1</t>
        </is>
      </c>
      <c r="D5" s="14">
        <f>SUMIF('Work items'!$B$6:$B$65,$A5,'Work items'!$M$6:$M$65)</f>
        <v/>
      </c>
      <c r="E5" s="14">
        <f>SUMIF('Work items'!$B$6:$B$65,$A5,'Work items'!$N$6:$N$65)</f>
        <v/>
      </c>
      <c r="F5" s="14">
        <f>SUMIF('Work items'!$B$6:$B$65,$A5,'Work items'!$O$6:$O$65)</f>
        <v/>
      </c>
      <c r="G5" s="14">
        <f>SUMIF('Work items'!$B$6:$B$65,$A5,'Work items'!$P$6:$P$65)</f>
        <v/>
      </c>
      <c r="H5" s="24">
        <f>SUM(D5:G5)</f>
        <v/>
      </c>
      <c r="I5" s="15">
        <f>COUNTIF('Work items'!$B$6:$B$65,$A5)</f>
        <v/>
      </c>
      <c r="J5" s="28">
        <f>IF(COUNT(Assumptions!$C$15:$C$18)=0,"",D5*Assumptions!$C$15 + E5*Assumptions!$C$16 + F5*Assumptions!$C$17 + G5*Assumptions!$C$18)</f>
        <v/>
      </c>
    </row>
    <row r="6">
      <c r="A6" s="29" t="inlineStr">
        <is>
          <t>M2</t>
        </is>
      </c>
      <c r="B6" s="27" t="inlineStr">
        <is>
          <t>Internal multi-team platform</t>
        </is>
      </c>
      <c r="C6" s="26" t="inlineStr">
        <is>
          <t>Phase 2</t>
        </is>
      </c>
      <c r="D6" s="14">
        <f>SUMIF('Work items'!$B$6:$B$65,$A6,'Work items'!$M$6:$M$65)</f>
        <v/>
      </c>
      <c r="E6" s="14">
        <f>SUMIF('Work items'!$B$6:$B$65,$A6,'Work items'!$N$6:$N$65)</f>
        <v/>
      </c>
      <c r="F6" s="14">
        <f>SUMIF('Work items'!$B$6:$B$65,$A6,'Work items'!$O$6:$O$65)</f>
        <v/>
      </c>
      <c r="G6" s="14">
        <f>SUMIF('Work items'!$B$6:$B$65,$A6,'Work items'!$P$6:$P$65)</f>
        <v/>
      </c>
      <c r="H6" s="24">
        <f>SUM(D6:G6)</f>
        <v/>
      </c>
      <c r="I6" s="15">
        <f>COUNTIF('Work items'!$B$6:$B$65,$A6)</f>
        <v/>
      </c>
      <c r="J6" s="28">
        <f>IF(COUNT(Assumptions!$C$15:$C$18)=0,"",D6*Assumptions!$C$15 + E6*Assumptions!$C$16 + F6*Assumptions!$C$17 + G6*Assumptions!$C$18)</f>
        <v/>
      </c>
    </row>
    <row r="7">
      <c r="A7" s="8" t="inlineStr">
        <is>
          <t>M3</t>
        </is>
      </c>
      <c r="B7" s="16" t="inlineStr">
        <is>
          <t>Guarded gateway</t>
        </is>
      </c>
      <c r="C7" s="21" t="inlineStr">
        <is>
          <t>Phase 3</t>
        </is>
      </c>
      <c r="D7" s="14">
        <f>SUMIF('Work items'!$B$6:$B$65,$A7,'Work items'!$M$6:$M$65)</f>
        <v/>
      </c>
      <c r="E7" s="14">
        <f>SUMIF('Work items'!$B$6:$B$65,$A7,'Work items'!$N$6:$N$65)</f>
        <v/>
      </c>
      <c r="F7" s="14">
        <f>SUMIF('Work items'!$B$6:$B$65,$A7,'Work items'!$O$6:$O$65)</f>
        <v/>
      </c>
      <c r="G7" s="14">
        <f>SUMIF('Work items'!$B$6:$B$65,$A7,'Work items'!$P$6:$P$65)</f>
        <v/>
      </c>
      <c r="H7" s="24">
        <f>SUM(D7:G7)</f>
        <v/>
      </c>
      <c r="I7" s="15">
        <f>COUNTIF('Work items'!$B$6:$B$65,$A7)</f>
        <v/>
      </c>
      <c r="J7" s="28">
        <f>IF(COUNT(Assumptions!$C$15:$C$18)=0,"",D7*Assumptions!$C$15 + E7*Assumptions!$C$16 + F7*Assumptions!$C$17 + G7*Assumptions!$C$18)</f>
        <v/>
      </c>
    </row>
    <row r="8">
      <c r="A8" s="29" t="inlineStr">
        <is>
          <t>M4</t>
        </is>
      </c>
      <c r="B8" s="27" t="inlineStr">
        <is>
          <t>Customer-managed runtime</t>
        </is>
      </c>
      <c r="C8" s="26" t="inlineStr">
        <is>
          <t>Phase 4</t>
        </is>
      </c>
      <c r="D8" s="14">
        <f>SUMIF('Work items'!$B$6:$B$65,$A8,'Work items'!$M$6:$M$65)</f>
        <v/>
      </c>
      <c r="E8" s="14">
        <f>SUMIF('Work items'!$B$6:$B$65,$A8,'Work items'!$N$6:$N$65)</f>
        <v/>
      </c>
      <c r="F8" s="14">
        <f>SUMIF('Work items'!$B$6:$B$65,$A8,'Work items'!$O$6:$O$65)</f>
        <v/>
      </c>
      <c r="G8" s="14">
        <f>SUMIF('Work items'!$B$6:$B$65,$A8,'Work items'!$P$6:$P$65)</f>
        <v/>
      </c>
      <c r="H8" s="24">
        <f>SUM(D8:G8)</f>
        <v/>
      </c>
      <c r="I8" s="15">
        <f>COUNTIF('Work items'!$B$6:$B$65,$A8)</f>
        <v/>
      </c>
      <c r="J8" s="28">
        <f>IF(COUNT(Assumptions!$C$15:$C$18)=0,"",D8*Assumptions!$C$15 + E8*Assumptions!$C$16 + F8*Assumptions!$C$17 + G8*Assumptions!$C$18)</f>
        <v/>
      </c>
    </row>
    <row r="9">
      <c r="A9" s="8" t="inlineStr">
        <is>
          <t>M5</t>
        </is>
      </c>
      <c r="B9" s="16" t="inlineStr">
        <is>
          <t>Advanced agent protection</t>
        </is>
      </c>
      <c r="C9" s="21" t="inlineStr">
        <is>
          <t>Phase 5</t>
        </is>
      </c>
      <c r="D9" s="14">
        <f>SUMIF('Work items'!$B$6:$B$65,$A9,'Work items'!$M$6:$M$65)</f>
        <v/>
      </c>
      <c r="E9" s="14">
        <f>SUMIF('Work items'!$B$6:$B$65,$A9,'Work items'!$N$6:$N$65)</f>
        <v/>
      </c>
      <c r="F9" s="14">
        <f>SUMIF('Work items'!$B$6:$B$65,$A9,'Work items'!$O$6:$O$65)</f>
        <v/>
      </c>
      <c r="G9" s="14">
        <f>SUMIF('Work items'!$B$6:$B$65,$A9,'Work items'!$P$6:$P$65)</f>
        <v/>
      </c>
      <c r="H9" s="24">
        <f>SUM(D9:G9)</f>
        <v/>
      </c>
      <c r="I9" s="15">
        <f>COUNTIF('Work items'!$B$6:$B$65,$A9)</f>
        <v/>
      </c>
      <c r="J9" s="28">
        <f>IF(COUNT(Assumptions!$C$15:$C$18)=0,"",D9*Assumptions!$C$15 + E9*Assumptions!$C$16 + F9*Assumptions!$C$17 + G9*Assumptions!$C$18)</f>
        <v/>
      </c>
    </row>
    <row r="10">
      <c r="B10" s="4" t="inlineStr">
        <is>
          <t>Total</t>
        </is>
      </c>
      <c r="D10" s="24">
        <f>SUM(D5:D9)</f>
        <v/>
      </c>
      <c r="E10" s="24">
        <f>SUM(E5:E9)</f>
        <v/>
      </c>
      <c r="F10" s="24">
        <f>SUM(F5:F9)</f>
        <v/>
      </c>
      <c r="G10" s="24">
        <f>SUM(G5:G9)</f>
        <v/>
      </c>
      <c r="H10" s="24">
        <f>SUM(H5:H9)</f>
        <v/>
      </c>
      <c r="I10" s="9">
        <f>SUM(I5:I9)</f>
        <v/>
      </c>
      <c r="J10" s="30">
        <f>IF(COUNT(Assumptions!$C$15:$C$18)=0,"",SUM(J5:J9))</f>
        <v/>
      </c>
    </row>
    <row r="12" ht="32" customHeight="1">
      <c r="A12" s="7" t="inlineStr">
        <is>
          <t>M3–M5 lie beyond the Phase 1–2 validation gate. Their totals appear because the feature set is estimated across all five phases, not because the work may start.</t>
        </is>
      </c>
    </row>
  </sheetData>
  <mergeCells count="3">
    <mergeCell ref="A1:J1"/>
    <mergeCell ref="A12:J12"/>
    <mergeCell ref="A2:J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20"/>
  <sheetViews>
    <sheetView showGridLines="0" workbookViewId="0">
      <pane ySplit="4" topLeftCell="A5" activePane="bottomLeft" state="frozen"/>
      <selection pane="bottomLeft" activeCell="A1" sqref="A1"/>
    </sheetView>
  </sheetViews>
  <sheetFormatPr baseColWidth="8" defaultRowHeight="15"/>
  <cols>
    <col width="24" customWidth="1" min="1" max="1"/>
    <col width="11" customWidth="1" min="2" max="2"/>
    <col width="14" customWidth="1" min="3" max="3"/>
    <col width="14" customWidth="1" min="4" max="4"/>
    <col width="12" customWidth="1" min="5" max="5"/>
    <col width="11" customWidth="1" min="6" max="6"/>
    <col width="11" customWidth="1" min="7" max="7"/>
    <col width="11" customWidth="1" min="8" max="8"/>
    <col width="11" customWidth="1" min="9" max="9"/>
  </cols>
  <sheetData>
    <row r="1">
      <c r="A1" s="1" t="inlineStr">
        <is>
          <t>Effort by workstream</t>
        </is>
      </c>
    </row>
    <row r="2" ht="32" customHeight="1">
      <c r="A2" s="2" t="inlineStr">
        <is>
          <t>Rolled up on the dimension the milestones cut across. Document order, not size order — a ranking that reshuffled on every edit would imply a stability this model does not have.</t>
        </is>
      </c>
    </row>
    <row r="4" ht="30" customHeight="1">
      <c r="A4" s="10" t="inlineStr">
        <is>
          <t>Workstream</t>
        </is>
      </c>
      <c r="B4" s="10" t="inlineStr">
        <is>
          <t>Work items</t>
        </is>
      </c>
      <c r="C4" s="10" t="inlineStr">
        <is>
          <t>Days after assist</t>
        </is>
      </c>
      <c r="D4" s="10" t="inlineStr">
        <is>
          <t>Before assist</t>
        </is>
      </c>
      <c r="E4" s="10" t="inlineStr">
        <is>
          <t>Removed</t>
        </is>
      </c>
      <c r="F4" s="10" t="inlineStr">
        <is>
          <t>AIG days</t>
        </is>
      </c>
      <c r="G4" s="10" t="inlineStr">
        <is>
          <t>OPS days</t>
        </is>
      </c>
      <c r="H4" s="10" t="inlineStr">
        <is>
          <t>SEC days</t>
        </is>
      </c>
      <c r="I4" s="10" t="inlineStr">
        <is>
          <t>CONS days</t>
        </is>
      </c>
    </row>
    <row r="5">
      <c r="A5" s="4" t="inlineStr">
        <is>
          <t>Contract</t>
        </is>
      </c>
      <c r="B5" s="15">
        <f>COUNTIF('Work items'!$C$6:$C$65,$A5)</f>
        <v/>
      </c>
      <c r="C5" s="14">
        <f>SUMIF('Work items'!$C$6:$C$65,$A5,'Work items'!$Q$6:$Q$65)</f>
        <v/>
      </c>
      <c r="D5" s="14">
        <f>SUMPRODUCT(('Work items'!$C$6:$C$65=$A5)*'Work items'!$G$6:$G$65*'Work items'!$H$6:$H$65) + SUMPRODUCT(('Work items'!$C$6:$C$65=$A5)*'Work items'!$G$6:$G$65*'Work items'!$I$6:$I$65) + SUMPRODUCT(('Work items'!$C$6:$C$65=$A5)*'Work items'!$G$6:$G$65*'Work items'!$J$6:$J$65) + SUMPRODUCT(('Work items'!$C$6:$C$65=$A5)*'Work items'!$G$6:$G$65*'Work items'!$K$6:$K$65)</f>
        <v/>
      </c>
      <c r="E5" s="14">
        <f>D5-C5</f>
        <v/>
      </c>
      <c r="F5" s="14">
        <f>SUMIF('Work items'!$C$6:$C$65,$A5,'Work items'!$M$6:$M$65)</f>
        <v/>
      </c>
      <c r="G5" s="14">
        <f>SUMIF('Work items'!$C$6:$C$65,$A5,'Work items'!$N$6:$N$65)</f>
        <v/>
      </c>
      <c r="H5" s="14">
        <f>SUMIF('Work items'!$C$6:$C$65,$A5,'Work items'!$O$6:$O$65)</f>
        <v/>
      </c>
      <c r="I5" s="14">
        <f>SUMIF('Work items'!$C$6:$C$65,$A5,'Work items'!$P$6:$P$65)</f>
        <v/>
      </c>
    </row>
    <row r="6">
      <c r="A6" s="25" t="inlineStr">
        <is>
          <t>Evaluation</t>
        </is>
      </c>
      <c r="B6" s="15">
        <f>COUNTIF('Work items'!$C$6:$C$65,$A6)</f>
        <v/>
      </c>
      <c r="C6" s="14">
        <f>SUMIF('Work items'!$C$6:$C$65,$A6,'Work items'!$Q$6:$Q$65)</f>
        <v/>
      </c>
      <c r="D6" s="14">
        <f>SUMPRODUCT(('Work items'!$C$6:$C$65=$A6)*'Work items'!$G$6:$G$65*'Work items'!$H$6:$H$65) + SUMPRODUCT(('Work items'!$C$6:$C$65=$A6)*'Work items'!$G$6:$G$65*'Work items'!$I$6:$I$65) + SUMPRODUCT(('Work items'!$C$6:$C$65=$A6)*'Work items'!$G$6:$G$65*'Work items'!$J$6:$J$65) + SUMPRODUCT(('Work items'!$C$6:$C$65=$A6)*'Work items'!$G$6:$G$65*'Work items'!$K$6:$K$65)</f>
        <v/>
      </c>
      <c r="E6" s="14">
        <f>D6-C6</f>
        <v/>
      </c>
      <c r="F6" s="14">
        <f>SUMIF('Work items'!$C$6:$C$65,$A6,'Work items'!$M$6:$M$65)</f>
        <v/>
      </c>
      <c r="G6" s="14">
        <f>SUMIF('Work items'!$C$6:$C$65,$A6,'Work items'!$N$6:$N$65)</f>
        <v/>
      </c>
      <c r="H6" s="14">
        <f>SUMIF('Work items'!$C$6:$C$65,$A6,'Work items'!$O$6:$O$65)</f>
        <v/>
      </c>
      <c r="I6" s="14">
        <f>SUMIF('Work items'!$C$6:$C$65,$A6,'Work items'!$P$6:$P$65)</f>
        <v/>
      </c>
    </row>
    <row r="7">
      <c r="A7" s="4" t="inlineStr">
        <is>
          <t>Connector</t>
        </is>
      </c>
      <c r="B7" s="15">
        <f>COUNTIF('Work items'!$C$6:$C$65,$A7)</f>
        <v/>
      </c>
      <c r="C7" s="14">
        <f>SUMIF('Work items'!$C$6:$C$65,$A7,'Work items'!$Q$6:$Q$65)</f>
        <v/>
      </c>
      <c r="D7" s="14">
        <f>SUMPRODUCT(('Work items'!$C$6:$C$65=$A7)*'Work items'!$G$6:$G$65*'Work items'!$H$6:$H$65) + SUMPRODUCT(('Work items'!$C$6:$C$65=$A7)*'Work items'!$G$6:$G$65*'Work items'!$I$6:$I$65) + SUMPRODUCT(('Work items'!$C$6:$C$65=$A7)*'Work items'!$G$6:$G$65*'Work items'!$J$6:$J$65) + SUMPRODUCT(('Work items'!$C$6:$C$65=$A7)*'Work items'!$G$6:$G$65*'Work items'!$K$6:$K$65)</f>
        <v/>
      </c>
      <c r="E7" s="14">
        <f>D7-C7</f>
        <v/>
      </c>
      <c r="F7" s="14">
        <f>SUMIF('Work items'!$C$6:$C$65,$A7,'Work items'!$M$6:$M$65)</f>
        <v/>
      </c>
      <c r="G7" s="14">
        <f>SUMIF('Work items'!$C$6:$C$65,$A7,'Work items'!$N$6:$N$65)</f>
        <v/>
      </c>
      <c r="H7" s="14">
        <f>SUMIF('Work items'!$C$6:$C$65,$A7,'Work items'!$O$6:$O$65)</f>
        <v/>
      </c>
      <c r="I7" s="14">
        <f>SUMIF('Work items'!$C$6:$C$65,$A7,'Work items'!$P$6:$P$65)</f>
        <v/>
      </c>
    </row>
    <row r="8">
      <c r="A8" s="25" t="inlineStr">
        <is>
          <t>Runtime</t>
        </is>
      </c>
      <c r="B8" s="15">
        <f>COUNTIF('Work items'!$C$6:$C$65,$A8)</f>
        <v/>
      </c>
      <c r="C8" s="14">
        <f>SUMIF('Work items'!$C$6:$C$65,$A8,'Work items'!$Q$6:$Q$65)</f>
        <v/>
      </c>
      <c r="D8" s="14">
        <f>SUMPRODUCT(('Work items'!$C$6:$C$65=$A8)*'Work items'!$G$6:$G$65*'Work items'!$H$6:$H$65) + SUMPRODUCT(('Work items'!$C$6:$C$65=$A8)*'Work items'!$G$6:$G$65*'Work items'!$I$6:$I$65) + SUMPRODUCT(('Work items'!$C$6:$C$65=$A8)*'Work items'!$G$6:$G$65*'Work items'!$J$6:$J$65) + SUMPRODUCT(('Work items'!$C$6:$C$65=$A8)*'Work items'!$G$6:$G$65*'Work items'!$K$6:$K$65)</f>
        <v/>
      </c>
      <c r="E8" s="14">
        <f>D8-C8</f>
        <v/>
      </c>
      <c r="F8" s="14">
        <f>SUMIF('Work items'!$C$6:$C$65,$A8,'Work items'!$M$6:$M$65)</f>
        <v/>
      </c>
      <c r="G8" s="14">
        <f>SUMIF('Work items'!$C$6:$C$65,$A8,'Work items'!$N$6:$N$65)</f>
        <v/>
      </c>
      <c r="H8" s="14">
        <f>SUMIF('Work items'!$C$6:$C$65,$A8,'Work items'!$O$6:$O$65)</f>
        <v/>
      </c>
      <c r="I8" s="14">
        <f>SUMIF('Work items'!$C$6:$C$65,$A8,'Work items'!$P$6:$P$65)</f>
        <v/>
      </c>
    </row>
    <row r="9">
      <c r="A9" s="4" t="inlineStr">
        <is>
          <t>Audit</t>
        </is>
      </c>
      <c r="B9" s="15">
        <f>COUNTIF('Work items'!$C$6:$C$65,$A9)</f>
        <v/>
      </c>
      <c r="C9" s="14">
        <f>SUMIF('Work items'!$C$6:$C$65,$A9,'Work items'!$Q$6:$Q$65)</f>
        <v/>
      </c>
      <c r="D9" s="14">
        <f>SUMPRODUCT(('Work items'!$C$6:$C$65=$A9)*'Work items'!$G$6:$G$65*'Work items'!$H$6:$H$65) + SUMPRODUCT(('Work items'!$C$6:$C$65=$A9)*'Work items'!$G$6:$G$65*'Work items'!$I$6:$I$65) + SUMPRODUCT(('Work items'!$C$6:$C$65=$A9)*'Work items'!$G$6:$G$65*'Work items'!$J$6:$J$65) + SUMPRODUCT(('Work items'!$C$6:$C$65=$A9)*'Work items'!$G$6:$G$65*'Work items'!$K$6:$K$65)</f>
        <v/>
      </c>
      <c r="E9" s="14">
        <f>D9-C9</f>
        <v/>
      </c>
      <c r="F9" s="14">
        <f>SUMIF('Work items'!$C$6:$C$65,$A9,'Work items'!$M$6:$M$65)</f>
        <v/>
      </c>
      <c r="G9" s="14">
        <f>SUMIF('Work items'!$C$6:$C$65,$A9,'Work items'!$N$6:$N$65)</f>
        <v/>
      </c>
      <c r="H9" s="14">
        <f>SUMIF('Work items'!$C$6:$C$65,$A9,'Work items'!$O$6:$O$65)</f>
        <v/>
      </c>
      <c r="I9" s="14">
        <f>SUMIF('Work items'!$C$6:$C$65,$A9,'Work items'!$P$6:$P$65)</f>
        <v/>
      </c>
    </row>
    <row r="10">
      <c r="A10" s="25" t="inlineStr">
        <is>
          <t>Observability</t>
        </is>
      </c>
      <c r="B10" s="15">
        <f>COUNTIF('Work items'!$C$6:$C$65,$A10)</f>
        <v/>
      </c>
      <c r="C10" s="14">
        <f>SUMIF('Work items'!$C$6:$C$65,$A10,'Work items'!$Q$6:$Q$65)</f>
        <v/>
      </c>
      <c r="D10" s="14">
        <f>SUMPRODUCT(('Work items'!$C$6:$C$65=$A10)*'Work items'!$G$6:$G$65*'Work items'!$H$6:$H$65) + SUMPRODUCT(('Work items'!$C$6:$C$65=$A10)*'Work items'!$G$6:$G$65*'Work items'!$I$6:$I$65) + SUMPRODUCT(('Work items'!$C$6:$C$65=$A10)*'Work items'!$G$6:$G$65*'Work items'!$J$6:$J$65) + SUMPRODUCT(('Work items'!$C$6:$C$65=$A10)*'Work items'!$G$6:$G$65*'Work items'!$K$6:$K$65)</f>
        <v/>
      </c>
      <c r="E10" s="14">
        <f>D10-C10</f>
        <v/>
      </c>
      <c r="F10" s="14">
        <f>SUMIF('Work items'!$C$6:$C$65,$A10,'Work items'!$M$6:$M$65)</f>
        <v/>
      </c>
      <c r="G10" s="14">
        <f>SUMIF('Work items'!$C$6:$C$65,$A10,'Work items'!$N$6:$N$65)</f>
        <v/>
      </c>
      <c r="H10" s="14">
        <f>SUMIF('Work items'!$C$6:$C$65,$A10,'Work items'!$O$6:$O$65)</f>
        <v/>
      </c>
      <c r="I10" s="14">
        <f>SUMIF('Work items'!$C$6:$C$65,$A10,'Work items'!$P$6:$P$65)</f>
        <v/>
      </c>
    </row>
    <row r="11">
      <c r="A11" s="4" t="inlineStr">
        <is>
          <t>Infrastructure</t>
        </is>
      </c>
      <c r="B11" s="15">
        <f>COUNTIF('Work items'!$C$6:$C$65,$A11)</f>
        <v/>
      </c>
      <c r="C11" s="14">
        <f>SUMIF('Work items'!$C$6:$C$65,$A11,'Work items'!$Q$6:$Q$65)</f>
        <v/>
      </c>
      <c r="D11" s="14">
        <f>SUMPRODUCT(('Work items'!$C$6:$C$65=$A11)*'Work items'!$G$6:$G$65*'Work items'!$H$6:$H$65) + SUMPRODUCT(('Work items'!$C$6:$C$65=$A11)*'Work items'!$G$6:$G$65*'Work items'!$I$6:$I$65) + SUMPRODUCT(('Work items'!$C$6:$C$65=$A11)*'Work items'!$G$6:$G$65*'Work items'!$J$6:$J$65) + SUMPRODUCT(('Work items'!$C$6:$C$65=$A11)*'Work items'!$G$6:$G$65*'Work items'!$K$6:$K$65)</f>
        <v/>
      </c>
      <c r="E11" s="14">
        <f>D11-C11</f>
        <v/>
      </c>
      <c r="F11" s="14">
        <f>SUMIF('Work items'!$C$6:$C$65,$A11,'Work items'!$M$6:$M$65)</f>
        <v/>
      </c>
      <c r="G11" s="14">
        <f>SUMIF('Work items'!$C$6:$C$65,$A11,'Work items'!$N$6:$N$65)</f>
        <v/>
      </c>
      <c r="H11" s="14">
        <f>SUMIF('Work items'!$C$6:$C$65,$A11,'Work items'!$O$6:$O$65)</f>
        <v/>
      </c>
      <c r="I11" s="14">
        <f>SUMIF('Work items'!$C$6:$C$65,$A11,'Work items'!$P$6:$P$65)</f>
        <v/>
      </c>
    </row>
    <row r="12">
      <c r="A12" s="25" t="inlineStr">
        <is>
          <t>Validation</t>
        </is>
      </c>
      <c r="B12" s="15">
        <f>COUNTIF('Work items'!$C$6:$C$65,$A12)</f>
        <v/>
      </c>
      <c r="C12" s="14">
        <f>SUMIF('Work items'!$C$6:$C$65,$A12,'Work items'!$Q$6:$Q$65)</f>
        <v/>
      </c>
      <c r="D12" s="14">
        <f>SUMPRODUCT(('Work items'!$C$6:$C$65=$A12)*'Work items'!$G$6:$G$65*'Work items'!$H$6:$H$65) + SUMPRODUCT(('Work items'!$C$6:$C$65=$A12)*'Work items'!$G$6:$G$65*'Work items'!$I$6:$I$65) + SUMPRODUCT(('Work items'!$C$6:$C$65=$A12)*'Work items'!$G$6:$G$65*'Work items'!$J$6:$J$65) + SUMPRODUCT(('Work items'!$C$6:$C$65=$A12)*'Work items'!$G$6:$G$65*'Work items'!$K$6:$K$65)</f>
        <v/>
      </c>
      <c r="E12" s="14">
        <f>D12-C12</f>
        <v/>
      </c>
      <c r="F12" s="14">
        <f>SUMIF('Work items'!$C$6:$C$65,$A12,'Work items'!$M$6:$M$65)</f>
        <v/>
      </c>
      <c r="G12" s="14">
        <f>SUMIF('Work items'!$C$6:$C$65,$A12,'Work items'!$N$6:$N$65)</f>
        <v/>
      </c>
      <c r="H12" s="14">
        <f>SUMIF('Work items'!$C$6:$C$65,$A12,'Work items'!$O$6:$O$65)</f>
        <v/>
      </c>
      <c r="I12" s="14">
        <f>SUMIF('Work items'!$C$6:$C$65,$A12,'Work items'!$P$6:$P$65)</f>
        <v/>
      </c>
    </row>
    <row r="13">
      <c r="A13" s="4" t="inlineStr">
        <is>
          <t>Packaging</t>
        </is>
      </c>
      <c r="B13" s="15">
        <f>COUNTIF('Work items'!$C$6:$C$65,$A13)</f>
        <v/>
      </c>
      <c r="C13" s="14">
        <f>SUMIF('Work items'!$C$6:$C$65,$A13,'Work items'!$Q$6:$Q$65)</f>
        <v/>
      </c>
      <c r="D13" s="14">
        <f>SUMPRODUCT(('Work items'!$C$6:$C$65=$A13)*'Work items'!$G$6:$G$65*'Work items'!$H$6:$H$65) + SUMPRODUCT(('Work items'!$C$6:$C$65=$A13)*'Work items'!$G$6:$G$65*'Work items'!$I$6:$I$65) + SUMPRODUCT(('Work items'!$C$6:$C$65=$A13)*'Work items'!$G$6:$G$65*'Work items'!$J$6:$J$65) + SUMPRODUCT(('Work items'!$C$6:$C$65=$A13)*'Work items'!$G$6:$G$65*'Work items'!$K$6:$K$65)</f>
        <v/>
      </c>
      <c r="E13" s="14">
        <f>D13-C13</f>
        <v/>
      </c>
      <c r="F13" s="14">
        <f>SUMIF('Work items'!$C$6:$C$65,$A13,'Work items'!$M$6:$M$65)</f>
        <v/>
      </c>
      <c r="G13" s="14">
        <f>SUMIF('Work items'!$C$6:$C$65,$A13,'Work items'!$N$6:$N$65)</f>
        <v/>
      </c>
      <c r="H13" s="14">
        <f>SUMIF('Work items'!$C$6:$C$65,$A13,'Work items'!$O$6:$O$65)</f>
        <v/>
      </c>
      <c r="I13" s="14">
        <f>SUMIF('Work items'!$C$6:$C$65,$A13,'Work items'!$P$6:$P$65)</f>
        <v/>
      </c>
    </row>
    <row r="14">
      <c r="A14" s="25" t="inlineStr">
        <is>
          <t>Control plane</t>
        </is>
      </c>
      <c r="B14" s="15">
        <f>COUNTIF('Work items'!$C$6:$C$65,$A14)</f>
        <v/>
      </c>
      <c r="C14" s="14">
        <f>SUMIF('Work items'!$C$6:$C$65,$A14,'Work items'!$Q$6:$Q$65)</f>
        <v/>
      </c>
      <c r="D14" s="14">
        <f>SUMPRODUCT(('Work items'!$C$6:$C$65=$A14)*'Work items'!$G$6:$G$65*'Work items'!$H$6:$H$65) + SUMPRODUCT(('Work items'!$C$6:$C$65=$A14)*'Work items'!$G$6:$G$65*'Work items'!$I$6:$I$65) + SUMPRODUCT(('Work items'!$C$6:$C$65=$A14)*'Work items'!$G$6:$G$65*'Work items'!$J$6:$J$65) + SUMPRODUCT(('Work items'!$C$6:$C$65=$A14)*'Work items'!$G$6:$G$65*'Work items'!$K$6:$K$65)</f>
        <v/>
      </c>
      <c r="E14" s="14">
        <f>D14-C14</f>
        <v/>
      </c>
      <c r="F14" s="14">
        <f>SUMIF('Work items'!$C$6:$C$65,$A14,'Work items'!$M$6:$M$65)</f>
        <v/>
      </c>
      <c r="G14" s="14">
        <f>SUMIF('Work items'!$C$6:$C$65,$A14,'Work items'!$N$6:$N$65)</f>
        <v/>
      </c>
      <c r="H14" s="14">
        <f>SUMIF('Work items'!$C$6:$C$65,$A14,'Work items'!$O$6:$O$65)</f>
        <v/>
      </c>
      <c r="I14" s="14">
        <f>SUMIF('Work items'!$C$6:$C$65,$A14,'Work items'!$P$6:$P$65)</f>
        <v/>
      </c>
    </row>
    <row r="15">
      <c r="A15" s="4" t="inlineStr">
        <is>
          <t>Security</t>
        </is>
      </c>
      <c r="B15" s="15">
        <f>COUNTIF('Work items'!$C$6:$C$65,$A15)</f>
        <v/>
      </c>
      <c r="C15" s="14">
        <f>SUMIF('Work items'!$C$6:$C$65,$A15,'Work items'!$Q$6:$Q$65)</f>
        <v/>
      </c>
      <c r="D15" s="14">
        <f>SUMPRODUCT(('Work items'!$C$6:$C$65=$A15)*'Work items'!$G$6:$G$65*'Work items'!$H$6:$H$65) + SUMPRODUCT(('Work items'!$C$6:$C$65=$A15)*'Work items'!$G$6:$G$65*'Work items'!$I$6:$I$65) + SUMPRODUCT(('Work items'!$C$6:$C$65=$A15)*'Work items'!$G$6:$G$65*'Work items'!$J$6:$J$65) + SUMPRODUCT(('Work items'!$C$6:$C$65=$A15)*'Work items'!$G$6:$G$65*'Work items'!$K$6:$K$65)</f>
        <v/>
      </c>
      <c r="E15" s="14">
        <f>D15-C15</f>
        <v/>
      </c>
      <c r="F15" s="14">
        <f>SUMIF('Work items'!$C$6:$C$65,$A15,'Work items'!$M$6:$M$65)</f>
        <v/>
      </c>
      <c r="G15" s="14">
        <f>SUMIF('Work items'!$C$6:$C$65,$A15,'Work items'!$N$6:$N$65)</f>
        <v/>
      </c>
      <c r="H15" s="14">
        <f>SUMIF('Work items'!$C$6:$C$65,$A15,'Work items'!$O$6:$O$65)</f>
        <v/>
      </c>
      <c r="I15" s="14">
        <f>SUMIF('Work items'!$C$6:$C$65,$A15,'Work items'!$P$6:$P$65)</f>
        <v/>
      </c>
    </row>
    <row r="16">
      <c r="A16" s="25" t="inlineStr">
        <is>
          <t>Gateway</t>
        </is>
      </c>
      <c r="B16" s="15">
        <f>COUNTIF('Work items'!$C$6:$C$65,$A16)</f>
        <v/>
      </c>
      <c r="C16" s="14">
        <f>SUMIF('Work items'!$C$6:$C$65,$A16,'Work items'!$Q$6:$Q$65)</f>
        <v/>
      </c>
      <c r="D16" s="14">
        <f>SUMPRODUCT(('Work items'!$C$6:$C$65=$A16)*'Work items'!$G$6:$G$65*'Work items'!$H$6:$H$65) + SUMPRODUCT(('Work items'!$C$6:$C$65=$A16)*'Work items'!$G$6:$G$65*'Work items'!$I$6:$I$65) + SUMPRODUCT(('Work items'!$C$6:$C$65=$A16)*'Work items'!$G$6:$G$65*'Work items'!$J$6:$J$65) + SUMPRODUCT(('Work items'!$C$6:$C$65=$A16)*'Work items'!$G$6:$G$65*'Work items'!$K$6:$K$65)</f>
        <v/>
      </c>
      <c r="E16" s="14">
        <f>D16-C16</f>
        <v/>
      </c>
      <c r="F16" s="14">
        <f>SUMIF('Work items'!$C$6:$C$65,$A16,'Work items'!$M$6:$M$65)</f>
        <v/>
      </c>
      <c r="G16" s="14">
        <f>SUMIF('Work items'!$C$6:$C$65,$A16,'Work items'!$N$6:$N$65)</f>
        <v/>
      </c>
      <c r="H16" s="14">
        <f>SUMIF('Work items'!$C$6:$C$65,$A16,'Work items'!$O$6:$O$65)</f>
        <v/>
      </c>
      <c r="I16" s="14">
        <f>SUMIF('Work items'!$C$6:$C$65,$A16,'Work items'!$P$6:$P$65)</f>
        <v/>
      </c>
    </row>
    <row r="17">
      <c r="A17" s="4" t="inlineStr">
        <is>
          <t>Operability</t>
        </is>
      </c>
      <c r="B17" s="15">
        <f>COUNTIF('Work items'!$C$6:$C$65,$A17)</f>
        <v/>
      </c>
      <c r="C17" s="14">
        <f>SUMIF('Work items'!$C$6:$C$65,$A17,'Work items'!$Q$6:$Q$65)</f>
        <v/>
      </c>
      <c r="D17" s="14">
        <f>SUMPRODUCT(('Work items'!$C$6:$C$65=$A17)*'Work items'!$G$6:$G$65*'Work items'!$H$6:$H$65) + SUMPRODUCT(('Work items'!$C$6:$C$65=$A17)*'Work items'!$G$6:$G$65*'Work items'!$I$6:$I$65) + SUMPRODUCT(('Work items'!$C$6:$C$65=$A17)*'Work items'!$G$6:$G$65*'Work items'!$J$6:$J$65) + SUMPRODUCT(('Work items'!$C$6:$C$65=$A17)*'Work items'!$G$6:$G$65*'Work items'!$K$6:$K$65)</f>
        <v/>
      </c>
      <c r="E17" s="14">
        <f>D17-C17</f>
        <v/>
      </c>
      <c r="F17" s="14">
        <f>SUMIF('Work items'!$C$6:$C$65,$A17,'Work items'!$M$6:$M$65)</f>
        <v/>
      </c>
      <c r="G17" s="14">
        <f>SUMIF('Work items'!$C$6:$C$65,$A17,'Work items'!$N$6:$N$65)</f>
        <v/>
      </c>
      <c r="H17" s="14">
        <f>SUMIF('Work items'!$C$6:$C$65,$A17,'Work items'!$O$6:$O$65)</f>
        <v/>
      </c>
      <c r="I17" s="14">
        <f>SUMIF('Work items'!$C$6:$C$65,$A17,'Work items'!$P$6:$P$65)</f>
        <v/>
      </c>
    </row>
    <row r="18">
      <c r="A18" s="25" t="inlineStr">
        <is>
          <t>Governance</t>
        </is>
      </c>
      <c r="B18" s="15">
        <f>COUNTIF('Work items'!$C$6:$C$65,$A18)</f>
        <v/>
      </c>
      <c r="C18" s="14">
        <f>SUMIF('Work items'!$C$6:$C$65,$A18,'Work items'!$Q$6:$Q$65)</f>
        <v/>
      </c>
      <c r="D18" s="14">
        <f>SUMPRODUCT(('Work items'!$C$6:$C$65=$A18)*'Work items'!$G$6:$G$65*'Work items'!$H$6:$H$65) + SUMPRODUCT(('Work items'!$C$6:$C$65=$A18)*'Work items'!$G$6:$G$65*'Work items'!$I$6:$I$65) + SUMPRODUCT(('Work items'!$C$6:$C$65=$A18)*'Work items'!$G$6:$G$65*'Work items'!$J$6:$J$65) + SUMPRODUCT(('Work items'!$C$6:$C$65=$A18)*'Work items'!$G$6:$G$65*'Work items'!$K$6:$K$65)</f>
        <v/>
      </c>
      <c r="E18" s="14">
        <f>D18-C18</f>
        <v/>
      </c>
      <c r="F18" s="14">
        <f>SUMIF('Work items'!$C$6:$C$65,$A18,'Work items'!$M$6:$M$65)</f>
        <v/>
      </c>
      <c r="G18" s="14">
        <f>SUMIF('Work items'!$C$6:$C$65,$A18,'Work items'!$N$6:$N$65)</f>
        <v/>
      </c>
      <c r="H18" s="14">
        <f>SUMIF('Work items'!$C$6:$C$65,$A18,'Work items'!$O$6:$O$65)</f>
        <v/>
      </c>
      <c r="I18" s="14">
        <f>SUMIF('Work items'!$C$6:$C$65,$A18,'Work items'!$P$6:$P$65)</f>
        <v/>
      </c>
    </row>
    <row r="19">
      <c r="A19" s="4" t="inlineStr">
        <is>
          <t>Integration</t>
        </is>
      </c>
      <c r="B19" s="15">
        <f>COUNTIF('Work items'!$C$6:$C$65,$A19)</f>
        <v/>
      </c>
      <c r="C19" s="14">
        <f>SUMIF('Work items'!$C$6:$C$65,$A19,'Work items'!$Q$6:$Q$65)</f>
        <v/>
      </c>
      <c r="D19" s="14">
        <f>SUMPRODUCT(('Work items'!$C$6:$C$65=$A19)*'Work items'!$G$6:$G$65*'Work items'!$H$6:$H$65) + SUMPRODUCT(('Work items'!$C$6:$C$65=$A19)*'Work items'!$G$6:$G$65*'Work items'!$I$6:$I$65) + SUMPRODUCT(('Work items'!$C$6:$C$65=$A19)*'Work items'!$G$6:$G$65*'Work items'!$J$6:$J$65) + SUMPRODUCT(('Work items'!$C$6:$C$65=$A19)*'Work items'!$G$6:$G$65*'Work items'!$K$6:$K$65)</f>
        <v/>
      </c>
      <c r="E19" s="14">
        <f>D19-C19</f>
        <v/>
      </c>
      <c r="F19" s="14">
        <f>SUMIF('Work items'!$C$6:$C$65,$A19,'Work items'!$M$6:$M$65)</f>
        <v/>
      </c>
      <c r="G19" s="14">
        <f>SUMIF('Work items'!$C$6:$C$65,$A19,'Work items'!$N$6:$N$65)</f>
        <v/>
      </c>
      <c r="H19" s="14">
        <f>SUMIF('Work items'!$C$6:$C$65,$A19,'Work items'!$O$6:$O$65)</f>
        <v/>
      </c>
      <c r="I19" s="14">
        <f>SUMIF('Work items'!$C$6:$C$65,$A19,'Work items'!$P$6:$P$65)</f>
        <v/>
      </c>
    </row>
    <row r="20">
      <c r="A20" s="4" t="inlineStr">
        <is>
          <t>Total</t>
        </is>
      </c>
      <c r="B20" s="9">
        <f>SUM(B5:B19)</f>
        <v/>
      </c>
      <c r="C20" s="24">
        <f>SUM(C5:C19)</f>
        <v/>
      </c>
      <c r="D20" s="24">
        <f>SUM(D5:D19)</f>
        <v/>
      </c>
      <c r="E20" s="24">
        <f>SUM(E5:E19)</f>
        <v/>
      </c>
      <c r="F20" s="24">
        <f>SUM(F5:F19)</f>
        <v/>
      </c>
      <c r="G20" s="24">
        <f>SUM(G5:G19)</f>
        <v/>
      </c>
      <c r="H20" s="24">
        <f>SUM(H5:H19)</f>
        <v/>
      </c>
      <c r="I20" s="24">
        <f>SUM(I5:I19)</f>
        <v/>
      </c>
    </row>
  </sheetData>
  <autoFilter ref="A4:I19"/>
  <mergeCells count="2">
    <mergeCell ref="A1:I1"/>
    <mergeCell ref="A2:I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32"/>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4" customWidth="1" min="5" max="5"/>
    <col width="14" customWidth="1" min="6" max="6"/>
    <col width="14" customWidth="1" min="7" max="7"/>
    <col width="14" customWidth="1" min="8" max="8"/>
  </cols>
  <sheetData>
    <row r="1">
      <c r="A1" s="1" t="inlineStr">
        <is>
          <t>Sensitivity</t>
        </is>
      </c>
    </row>
    <row r="2" ht="32" customHeight="1">
      <c r="A2" s="2" t="inlineStr">
        <is>
          <t>Total person-days as the two knobs move. The contingency column here is local to this sheet and does not change Assumptions; the assistance multiplier scales every role's factor at once.</t>
        </is>
      </c>
    </row>
    <row r="4" ht="30" customHeight="1">
      <c r="A4" s="10" t="inlineStr">
        <is>
          <t>Base days, no contingency, no assistance</t>
        </is>
      </c>
      <c r="B4" s="10" t="inlineStr">
        <is>
          <t>AIG</t>
        </is>
      </c>
      <c r="C4" s="10" t="inlineStr">
        <is>
          <t>OPS</t>
        </is>
      </c>
      <c r="D4" s="10" t="inlineStr">
        <is>
          <t>SEC</t>
        </is>
      </c>
      <c r="E4" s="10" t="inlineStr">
        <is>
          <t>CONS</t>
        </is>
      </c>
      <c r="F4" s="10" t="inlineStr"/>
      <c r="G4" s="10" t="inlineStr"/>
      <c r="H4" s="10" t="inlineStr"/>
      <c r="I4" s="10" t="inlineStr"/>
    </row>
    <row r="5">
      <c r="A5" s="4" t="inlineStr">
        <is>
          <t>Per role</t>
        </is>
      </c>
      <c r="B5" s="14">
        <f>SUMPRODUCT('Work items'!$F$6:$F$65,'Work items'!$H$6:$H$65)</f>
        <v/>
      </c>
      <c r="C5" s="14">
        <f>SUMPRODUCT('Work items'!$F$6:$F$65,'Work items'!$I$6:$I$65)</f>
        <v/>
      </c>
      <c r="D5" s="14">
        <f>SUMPRODUCT('Work items'!$F$6:$F$65,'Work items'!$J$6:$J$65)</f>
        <v/>
      </c>
      <c r="E5" s="14">
        <f>SUMPRODUCT('Work items'!$F$6:$F$65,'Work items'!$K$6:$K$65)</f>
        <v/>
      </c>
    </row>
    <row r="8" ht="30" customHeight="1">
      <c r="A8" s="10" t="inlineStr">
        <is>
          <t>Contingency</t>
        </is>
      </c>
      <c r="B8" s="10" t="inlineStr">
        <is>
          <t>No assistance</t>
        </is>
      </c>
      <c r="C8" s="10" t="inlineStr">
        <is>
          <t>Half the assumed</t>
        </is>
      </c>
      <c r="D8" s="10" t="inlineStr">
        <is>
          <t>The assumed factors</t>
        </is>
      </c>
      <c r="E8" s="10" t="inlineStr"/>
      <c r="F8" s="10" t="inlineStr"/>
      <c r="G8" s="10" t="inlineStr"/>
      <c r="H8" s="10" t="inlineStr"/>
    </row>
    <row r="9">
      <c r="A9" s="20" t="n">
        <v>0</v>
      </c>
      <c r="B9" s="14">
        <f>(1+$A9)*(B$5*(1-Assumptions!$C$24*0.0) + C$5*(1-Assumptions!$C$25*0.0) + D$5*(1-Assumptions!$C$26*0.0) + E$5*(1-Assumptions!$C$27*0.0))</f>
        <v/>
      </c>
      <c r="C9" s="14">
        <f>(1+$A9)*(B$5*(1-Assumptions!$C$24*0.5) + C$5*(1-Assumptions!$C$25*0.5) + D$5*(1-Assumptions!$C$26*0.5) + E$5*(1-Assumptions!$C$27*0.5))</f>
        <v/>
      </c>
      <c r="D9" s="14">
        <f>(1+$A9)*(B$5*(1-Assumptions!$C$24*1.0) + C$5*(1-Assumptions!$C$25*1.0) + D$5*(1-Assumptions!$C$26*1.0) + E$5*(1-Assumptions!$C$27*1.0))</f>
        <v/>
      </c>
    </row>
    <row r="10">
      <c r="A10" s="20" t="n">
        <v>0.05</v>
      </c>
      <c r="B10" s="14">
        <f>(1+$A10)*(B$5*(1-Assumptions!$C$24*0.0) + C$5*(1-Assumptions!$C$25*0.0) + D$5*(1-Assumptions!$C$26*0.0) + E$5*(1-Assumptions!$C$27*0.0))</f>
        <v/>
      </c>
      <c r="C10" s="14">
        <f>(1+$A10)*(B$5*(1-Assumptions!$C$24*0.5) + C$5*(1-Assumptions!$C$25*0.5) + D$5*(1-Assumptions!$C$26*0.5) + E$5*(1-Assumptions!$C$27*0.5))</f>
        <v/>
      </c>
      <c r="D10" s="14">
        <f>(1+$A10)*(B$5*(1-Assumptions!$C$24*1.0) + C$5*(1-Assumptions!$C$25*1.0) + D$5*(1-Assumptions!$C$26*1.0) + E$5*(1-Assumptions!$C$27*1.0))</f>
        <v/>
      </c>
    </row>
    <row r="11">
      <c r="A11" s="20" t="n">
        <v>0.1</v>
      </c>
      <c r="B11" s="14">
        <f>(1+$A11)*(B$5*(1-Assumptions!$C$24*0.0) + C$5*(1-Assumptions!$C$25*0.0) + D$5*(1-Assumptions!$C$26*0.0) + E$5*(1-Assumptions!$C$27*0.0))</f>
        <v/>
      </c>
      <c r="C11" s="14">
        <f>(1+$A11)*(B$5*(1-Assumptions!$C$24*0.5) + C$5*(1-Assumptions!$C$25*0.5) + D$5*(1-Assumptions!$C$26*0.5) + E$5*(1-Assumptions!$C$27*0.5))</f>
        <v/>
      </c>
      <c r="D11" s="14">
        <f>(1+$A11)*(B$5*(1-Assumptions!$C$24*1.0) + C$5*(1-Assumptions!$C$25*1.0) + D$5*(1-Assumptions!$C$26*1.0) + E$5*(1-Assumptions!$C$27*1.0))</f>
        <v/>
      </c>
    </row>
    <row r="12">
      <c r="A12" s="20" t="n">
        <v>0.15</v>
      </c>
      <c r="B12" s="14">
        <f>(1+$A12)*(B$5*(1-Assumptions!$C$24*0.0) + C$5*(1-Assumptions!$C$25*0.0) + D$5*(1-Assumptions!$C$26*0.0) + E$5*(1-Assumptions!$C$27*0.0))</f>
        <v/>
      </c>
      <c r="C12" s="14">
        <f>(1+$A12)*(B$5*(1-Assumptions!$C$24*0.5) + C$5*(1-Assumptions!$C$25*0.5) + D$5*(1-Assumptions!$C$26*0.5) + E$5*(1-Assumptions!$C$27*0.5))</f>
        <v/>
      </c>
      <c r="D12" s="14">
        <f>(1+$A12)*(B$5*(1-Assumptions!$C$24*1.0) + C$5*(1-Assumptions!$C$25*1.0) + D$5*(1-Assumptions!$C$26*1.0) + E$5*(1-Assumptions!$C$27*1.0))</f>
        <v/>
      </c>
    </row>
    <row r="13">
      <c r="A13" s="20" t="n">
        <v>0.2</v>
      </c>
      <c r="B13" s="14">
        <f>(1+$A13)*(B$5*(1-Assumptions!$C$24*0.0) + C$5*(1-Assumptions!$C$25*0.0) + D$5*(1-Assumptions!$C$26*0.0) + E$5*(1-Assumptions!$C$27*0.0))</f>
        <v/>
      </c>
      <c r="C13" s="14">
        <f>(1+$A13)*(B$5*(1-Assumptions!$C$24*0.5) + C$5*(1-Assumptions!$C$25*0.5) + D$5*(1-Assumptions!$C$26*0.5) + E$5*(1-Assumptions!$C$27*0.5))</f>
        <v/>
      </c>
      <c r="D13" s="14">
        <f>(1+$A13)*(B$5*(1-Assumptions!$C$24*1.0) + C$5*(1-Assumptions!$C$25*1.0) + D$5*(1-Assumptions!$C$26*1.0) + E$5*(1-Assumptions!$C$27*1.0))</f>
        <v/>
      </c>
    </row>
    <row r="14">
      <c r="A14" s="20" t="n">
        <v>0.25</v>
      </c>
      <c r="B14" s="14">
        <f>(1+$A14)*(B$5*(1-Assumptions!$C$24*0.0) + C$5*(1-Assumptions!$C$25*0.0) + D$5*(1-Assumptions!$C$26*0.0) + E$5*(1-Assumptions!$C$27*0.0))</f>
        <v/>
      </c>
      <c r="C14" s="14">
        <f>(1+$A14)*(B$5*(1-Assumptions!$C$24*0.5) + C$5*(1-Assumptions!$C$25*0.5) + D$5*(1-Assumptions!$C$26*0.5) + E$5*(1-Assumptions!$C$27*0.5))</f>
        <v/>
      </c>
      <c r="D14" s="14">
        <f>(1+$A14)*(B$5*(1-Assumptions!$C$24*1.0) + C$5*(1-Assumptions!$C$25*1.0) + D$5*(1-Assumptions!$C$26*1.0) + E$5*(1-Assumptions!$C$27*1.0))</f>
        <v/>
      </c>
    </row>
    <row r="32" ht="18" customHeight="1">
      <c r="A32" s="7" t="inlineStr">
        <is>
          <t>The spread across this grid is wider than any difference the model's role splits produce. Argue about these two numbers first.</t>
        </is>
      </c>
    </row>
  </sheetData>
  <mergeCells count="3">
    <mergeCell ref="A32:H32"/>
    <mergeCell ref="A2:H2"/>
    <mergeCell ref="A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J244"/>
  <sheetViews>
    <sheetView showGridLines="0" workbookViewId="0">
      <pane ySplit="4" topLeftCell="A5" activePane="bottomLeft" state="frozen"/>
      <selection pane="bottomLeft" activeCell="A1" sqref="A1"/>
    </sheetView>
  </sheetViews>
  <sheetFormatPr baseColWidth="8" defaultRowHeight="15"/>
  <cols>
    <col width="10" customWidth="1" min="1" max="1"/>
    <col width="11" customWidth="1" min="2" max="2"/>
    <col width="9" customWidth="1" min="3" max="3"/>
    <col width="20" customWidth="1" min="4" max="4"/>
    <col width="7" customWidth="1" min="5" max="5"/>
    <col width="8" customWidth="1" min="6" max="6"/>
    <col width="9" customWidth="1" min="7" max="7"/>
    <col width="15" customWidth="1" min="8" max="8"/>
    <col width="15" customWidth="1" min="9" max="9"/>
    <col width="50" customWidth="1" min="10" max="10"/>
  </cols>
  <sheetData>
    <row r="1">
      <c r="A1" s="1" t="inlineStr">
        <is>
          <t>Pivot data</t>
        </is>
      </c>
    </row>
    <row r="2" ht="32" customHeight="1">
      <c r="A2" s="2" t="inlineStr">
        <is>
          <t>Every work item, once per role. Insert → PivotTable over this sheet and slice it any way the rollups do not. Rows with a zero share are kept so the grain stays rectangular.</t>
        </is>
      </c>
    </row>
    <row r="4" ht="30" customHeight="1">
      <c r="A4" s="10" t="inlineStr">
        <is>
          <t>Work item</t>
        </is>
      </c>
      <c r="B4" s="10" t="inlineStr">
        <is>
          <t>Milestone</t>
        </is>
      </c>
      <c r="C4" s="10" t="inlineStr">
        <is>
          <t>Phase</t>
        </is>
      </c>
      <c r="D4" s="10" t="inlineStr">
        <is>
          <t>Workstream</t>
        </is>
      </c>
      <c r="E4" s="10" t="inlineStr">
        <is>
          <t>Size</t>
        </is>
      </c>
      <c r="F4" s="10" t="inlineStr">
        <is>
          <t>Role</t>
        </is>
      </c>
      <c r="G4" s="10" t="inlineStr">
        <is>
          <t>Share</t>
        </is>
      </c>
      <c r="H4" s="10" t="inlineStr">
        <is>
          <t>Days before assist</t>
        </is>
      </c>
      <c r="I4" s="10" t="inlineStr">
        <is>
          <t>Days after assist</t>
        </is>
      </c>
      <c r="J4" s="10" t="inlineStr">
        <is>
          <t>Description</t>
        </is>
      </c>
    </row>
    <row r="5">
      <c r="A5" s="4" t="inlineStr">
        <is>
          <t>WI-001</t>
        </is>
      </c>
      <c r="B5" s="21" t="inlineStr">
        <is>
          <t>M1</t>
        </is>
      </c>
      <c r="C5" s="21" t="inlineStr">
        <is>
          <t>Phase 1</t>
        </is>
      </c>
      <c r="D5" s="16" t="inlineStr">
        <is>
          <t>Contract</t>
        </is>
      </c>
      <c r="E5" s="21" t="inlineStr">
        <is>
          <t>L</t>
        </is>
      </c>
      <c r="F5" s="21" t="inlineStr">
        <is>
          <t>AIG</t>
        </is>
      </c>
      <c r="G5" s="23">
        <f>'Work items'!H6</f>
        <v/>
      </c>
      <c r="H5" s="14">
        <f>'Work items'!G6*'Work items'!H6</f>
        <v/>
      </c>
      <c r="I5" s="14">
        <f>'Work items'!M6</f>
        <v/>
      </c>
      <c r="J5" s="16" t="inlineStr">
        <is>
          <t>Evaluation contract defined and published — request structure, decision structure, reason codes, policy-version semantics, expressed independently of any gateway or vendor</t>
        </is>
      </c>
    </row>
    <row r="6">
      <c r="A6" s="4" t="inlineStr">
        <is>
          <t>WI-001</t>
        </is>
      </c>
      <c r="B6" s="21" t="inlineStr">
        <is>
          <t>M1</t>
        </is>
      </c>
      <c r="C6" s="21" t="inlineStr">
        <is>
          <t>Phase 1</t>
        </is>
      </c>
      <c r="D6" s="16" t="inlineStr">
        <is>
          <t>Contract</t>
        </is>
      </c>
      <c r="E6" s="21" t="inlineStr">
        <is>
          <t>L</t>
        </is>
      </c>
      <c r="F6" s="21" t="inlineStr">
        <is>
          <t>OPS</t>
        </is>
      </c>
      <c r="G6" s="23">
        <f>'Work items'!I6</f>
        <v/>
      </c>
      <c r="H6" s="14">
        <f>'Work items'!G6*'Work items'!I6</f>
        <v/>
      </c>
      <c r="I6" s="14">
        <f>'Work items'!N6</f>
        <v/>
      </c>
      <c r="J6" s="16" t="inlineStr">
        <is>
          <t>Evaluation contract defined and published — request structure, decision structure, reason codes, policy-version semantics, expressed independently of any gateway or vendor</t>
        </is>
      </c>
    </row>
    <row r="7">
      <c r="A7" s="4" t="inlineStr">
        <is>
          <t>WI-001</t>
        </is>
      </c>
      <c r="B7" s="21" t="inlineStr">
        <is>
          <t>M1</t>
        </is>
      </c>
      <c r="C7" s="21" t="inlineStr">
        <is>
          <t>Phase 1</t>
        </is>
      </c>
      <c r="D7" s="16" t="inlineStr">
        <is>
          <t>Contract</t>
        </is>
      </c>
      <c r="E7" s="21" t="inlineStr">
        <is>
          <t>L</t>
        </is>
      </c>
      <c r="F7" s="21" t="inlineStr">
        <is>
          <t>SEC</t>
        </is>
      </c>
      <c r="G7" s="23">
        <f>'Work items'!J6</f>
        <v/>
      </c>
      <c r="H7" s="14">
        <f>'Work items'!G6*'Work items'!J6</f>
        <v/>
      </c>
      <c r="I7" s="14">
        <f>'Work items'!O6</f>
        <v/>
      </c>
      <c r="J7" s="16" t="inlineStr">
        <is>
          <t>Evaluation contract defined and published — request structure, decision structure, reason codes, policy-version semantics, expressed independently of any gateway or vendor</t>
        </is>
      </c>
    </row>
    <row r="8">
      <c r="A8" s="4" t="inlineStr">
        <is>
          <t>WI-001</t>
        </is>
      </c>
      <c r="B8" s="21" t="inlineStr">
        <is>
          <t>M1</t>
        </is>
      </c>
      <c r="C8" s="21" t="inlineStr">
        <is>
          <t>Phase 1</t>
        </is>
      </c>
      <c r="D8" s="16" t="inlineStr">
        <is>
          <t>Contract</t>
        </is>
      </c>
      <c r="E8" s="21" t="inlineStr">
        <is>
          <t>L</t>
        </is>
      </c>
      <c r="F8" s="21" t="inlineStr">
        <is>
          <t>CONS</t>
        </is>
      </c>
      <c r="G8" s="23">
        <f>'Work items'!K6</f>
        <v/>
      </c>
      <c r="H8" s="14">
        <f>'Work items'!G6*'Work items'!K6</f>
        <v/>
      </c>
      <c r="I8" s="14">
        <f>'Work items'!P6</f>
        <v/>
      </c>
      <c r="J8" s="16" t="inlineStr">
        <is>
          <t>Evaluation contract defined and published — request structure, decision structure, reason codes, policy-version semantics, expressed independently of any gateway or vendor</t>
        </is>
      </c>
    </row>
    <row r="9">
      <c r="A9" s="25" t="inlineStr">
        <is>
          <t>WI-002</t>
        </is>
      </c>
      <c r="B9" s="26" t="inlineStr">
        <is>
          <t>M1</t>
        </is>
      </c>
      <c r="C9" s="26" t="inlineStr">
        <is>
          <t>Phase 1</t>
        </is>
      </c>
      <c r="D9" s="27" t="inlineStr">
        <is>
          <t>Contract</t>
        </is>
      </c>
      <c r="E9" s="26" t="inlineStr">
        <is>
          <t>L</t>
        </is>
      </c>
      <c r="F9" s="26" t="inlineStr">
        <is>
          <t>AIG</t>
        </is>
      </c>
      <c r="G9" s="23">
        <f>'Work items'!H7</f>
        <v/>
      </c>
      <c r="H9" s="14">
        <f>'Work items'!G7*'Work items'!H7</f>
        <v/>
      </c>
      <c r="I9" s="14">
        <f>'Work items'!M7</f>
        <v/>
      </c>
      <c r="J9" s="27" t="inlineStr">
        <is>
          <t>Guardrail policy format defined as a versioned, vendor-independent schema</t>
        </is>
      </c>
    </row>
    <row r="10">
      <c r="A10" s="25" t="inlineStr">
        <is>
          <t>WI-002</t>
        </is>
      </c>
      <c r="B10" s="26" t="inlineStr">
        <is>
          <t>M1</t>
        </is>
      </c>
      <c r="C10" s="26" t="inlineStr">
        <is>
          <t>Phase 1</t>
        </is>
      </c>
      <c r="D10" s="27" t="inlineStr">
        <is>
          <t>Contract</t>
        </is>
      </c>
      <c r="E10" s="26" t="inlineStr">
        <is>
          <t>L</t>
        </is>
      </c>
      <c r="F10" s="26" t="inlineStr">
        <is>
          <t>OPS</t>
        </is>
      </c>
      <c r="G10" s="23">
        <f>'Work items'!I7</f>
        <v/>
      </c>
      <c r="H10" s="14">
        <f>'Work items'!G7*'Work items'!I7</f>
        <v/>
      </c>
      <c r="I10" s="14">
        <f>'Work items'!N7</f>
        <v/>
      </c>
      <c r="J10" s="27" t="inlineStr">
        <is>
          <t>Guardrail policy format defined as a versioned, vendor-independent schema</t>
        </is>
      </c>
    </row>
    <row r="11">
      <c r="A11" s="25" t="inlineStr">
        <is>
          <t>WI-002</t>
        </is>
      </c>
      <c r="B11" s="26" t="inlineStr">
        <is>
          <t>M1</t>
        </is>
      </c>
      <c r="C11" s="26" t="inlineStr">
        <is>
          <t>Phase 1</t>
        </is>
      </c>
      <c r="D11" s="27" t="inlineStr">
        <is>
          <t>Contract</t>
        </is>
      </c>
      <c r="E11" s="26" t="inlineStr">
        <is>
          <t>L</t>
        </is>
      </c>
      <c r="F11" s="26" t="inlineStr">
        <is>
          <t>SEC</t>
        </is>
      </c>
      <c r="G11" s="23">
        <f>'Work items'!J7</f>
        <v/>
      </c>
      <c r="H11" s="14">
        <f>'Work items'!G7*'Work items'!J7</f>
        <v/>
      </c>
      <c r="I11" s="14">
        <f>'Work items'!O7</f>
        <v/>
      </c>
      <c r="J11" s="27" t="inlineStr">
        <is>
          <t>Guardrail policy format defined as a versioned, vendor-independent schema</t>
        </is>
      </c>
    </row>
    <row r="12">
      <c r="A12" s="25" t="inlineStr">
        <is>
          <t>WI-002</t>
        </is>
      </c>
      <c r="B12" s="26" t="inlineStr">
        <is>
          <t>M1</t>
        </is>
      </c>
      <c r="C12" s="26" t="inlineStr">
        <is>
          <t>Phase 1</t>
        </is>
      </c>
      <c r="D12" s="27" t="inlineStr">
        <is>
          <t>Contract</t>
        </is>
      </c>
      <c r="E12" s="26" t="inlineStr">
        <is>
          <t>L</t>
        </is>
      </c>
      <c r="F12" s="26" t="inlineStr">
        <is>
          <t>CONS</t>
        </is>
      </c>
      <c r="G12" s="23">
        <f>'Work items'!K7</f>
        <v/>
      </c>
      <c r="H12" s="14">
        <f>'Work items'!G7*'Work items'!K7</f>
        <v/>
      </c>
      <c r="I12" s="14">
        <f>'Work items'!P7</f>
        <v/>
      </c>
      <c r="J12" s="27" t="inlineStr">
        <is>
          <t>Guardrail policy format defined as a versioned, vendor-independent schema</t>
        </is>
      </c>
    </row>
    <row r="13">
      <c r="A13" s="4" t="inlineStr">
        <is>
          <t>WI-003</t>
        </is>
      </c>
      <c r="B13" s="21" t="inlineStr">
        <is>
          <t>M1</t>
        </is>
      </c>
      <c r="C13" s="21" t="inlineStr">
        <is>
          <t>Phase 1</t>
        </is>
      </c>
      <c r="D13" s="16" t="inlineStr">
        <is>
          <t>Evaluation</t>
        </is>
      </c>
      <c r="E13" s="21" t="inlineStr">
        <is>
          <t>L</t>
        </is>
      </c>
      <c r="F13" s="21" t="inlineStr">
        <is>
          <t>AIG</t>
        </is>
      </c>
      <c r="G13" s="23">
        <f>'Work items'!H8</f>
        <v/>
      </c>
      <c r="H13" s="14">
        <f>'Work items'!G8*'Work items'!H8</f>
        <v/>
      </c>
      <c r="I13" s="14">
        <f>'Work items'!M8</f>
        <v/>
      </c>
      <c r="J13" s="16" t="inlineStr">
        <is>
          <t>Amazon Bedrock Guardrails adapter, normalizing vendor responses into the platform's own decision structure before they reach any policy or connector</t>
        </is>
      </c>
    </row>
    <row r="14">
      <c r="A14" s="4" t="inlineStr">
        <is>
          <t>WI-003</t>
        </is>
      </c>
      <c r="B14" s="21" t="inlineStr">
        <is>
          <t>M1</t>
        </is>
      </c>
      <c r="C14" s="21" t="inlineStr">
        <is>
          <t>Phase 1</t>
        </is>
      </c>
      <c r="D14" s="16" t="inlineStr">
        <is>
          <t>Evaluation</t>
        </is>
      </c>
      <c r="E14" s="21" t="inlineStr">
        <is>
          <t>L</t>
        </is>
      </c>
      <c r="F14" s="21" t="inlineStr">
        <is>
          <t>OPS</t>
        </is>
      </c>
      <c r="G14" s="23">
        <f>'Work items'!I8</f>
        <v/>
      </c>
      <c r="H14" s="14">
        <f>'Work items'!G8*'Work items'!I8</f>
        <v/>
      </c>
      <c r="I14" s="14">
        <f>'Work items'!N8</f>
        <v/>
      </c>
      <c r="J14" s="16" t="inlineStr">
        <is>
          <t>Amazon Bedrock Guardrails adapter, normalizing vendor responses into the platform's own decision structure before they reach any policy or connector</t>
        </is>
      </c>
    </row>
    <row r="15">
      <c r="A15" s="4" t="inlineStr">
        <is>
          <t>WI-003</t>
        </is>
      </c>
      <c r="B15" s="21" t="inlineStr">
        <is>
          <t>M1</t>
        </is>
      </c>
      <c r="C15" s="21" t="inlineStr">
        <is>
          <t>Phase 1</t>
        </is>
      </c>
      <c r="D15" s="16" t="inlineStr">
        <is>
          <t>Evaluation</t>
        </is>
      </c>
      <c r="E15" s="21" t="inlineStr">
        <is>
          <t>L</t>
        </is>
      </c>
      <c r="F15" s="21" t="inlineStr">
        <is>
          <t>SEC</t>
        </is>
      </c>
      <c r="G15" s="23">
        <f>'Work items'!J8</f>
        <v/>
      </c>
      <c r="H15" s="14">
        <f>'Work items'!G8*'Work items'!J8</f>
        <v/>
      </c>
      <c r="I15" s="14">
        <f>'Work items'!O8</f>
        <v/>
      </c>
      <c r="J15" s="16" t="inlineStr">
        <is>
          <t>Amazon Bedrock Guardrails adapter, normalizing vendor responses into the platform's own decision structure before they reach any policy or connector</t>
        </is>
      </c>
    </row>
    <row r="16">
      <c r="A16" s="4" t="inlineStr">
        <is>
          <t>WI-003</t>
        </is>
      </c>
      <c r="B16" s="21" t="inlineStr">
        <is>
          <t>M1</t>
        </is>
      </c>
      <c r="C16" s="21" t="inlineStr">
        <is>
          <t>Phase 1</t>
        </is>
      </c>
      <c r="D16" s="16" t="inlineStr">
        <is>
          <t>Evaluation</t>
        </is>
      </c>
      <c r="E16" s="21" t="inlineStr">
        <is>
          <t>L</t>
        </is>
      </c>
      <c r="F16" s="21" t="inlineStr">
        <is>
          <t>CONS</t>
        </is>
      </c>
      <c r="G16" s="23">
        <f>'Work items'!K8</f>
        <v/>
      </c>
      <c r="H16" s="14">
        <f>'Work items'!G8*'Work items'!K8</f>
        <v/>
      </c>
      <c r="I16" s="14">
        <f>'Work items'!P8</f>
        <v/>
      </c>
      <c r="J16" s="16" t="inlineStr">
        <is>
          <t>Amazon Bedrock Guardrails adapter, normalizing vendor responses into the platform's own decision structure before they reach any policy or connector</t>
        </is>
      </c>
    </row>
    <row r="17">
      <c r="A17" s="25" t="inlineStr">
        <is>
          <t>WI-004</t>
        </is>
      </c>
      <c r="B17" s="26" t="inlineStr">
        <is>
          <t>M1</t>
        </is>
      </c>
      <c r="C17" s="26" t="inlineStr">
        <is>
          <t>Phase 1</t>
        </is>
      </c>
      <c r="D17" s="27" t="inlineStr">
        <is>
          <t>Evaluation</t>
        </is>
      </c>
      <c r="E17" s="26" t="inlineStr">
        <is>
          <t>M</t>
        </is>
      </c>
      <c r="F17" s="26" t="inlineStr">
        <is>
          <t>AIG</t>
        </is>
      </c>
      <c r="G17" s="23">
        <f>'Work items'!H9</f>
        <v/>
      </c>
      <c r="H17" s="14">
        <f>'Work items'!G9*'Work items'!H9</f>
        <v/>
      </c>
      <c r="I17" s="14">
        <f>'Work items'!M9</f>
        <v/>
      </c>
      <c r="J17" s="27" t="inlineStr">
        <is>
          <t>Basic deterministic evaluator behind the same evaluator-adapter pattern</t>
        </is>
      </c>
    </row>
    <row r="18">
      <c r="A18" s="25" t="inlineStr">
        <is>
          <t>WI-004</t>
        </is>
      </c>
      <c r="B18" s="26" t="inlineStr">
        <is>
          <t>M1</t>
        </is>
      </c>
      <c r="C18" s="26" t="inlineStr">
        <is>
          <t>Phase 1</t>
        </is>
      </c>
      <c r="D18" s="27" t="inlineStr">
        <is>
          <t>Evaluation</t>
        </is>
      </c>
      <c r="E18" s="26" t="inlineStr">
        <is>
          <t>M</t>
        </is>
      </c>
      <c r="F18" s="26" t="inlineStr">
        <is>
          <t>OPS</t>
        </is>
      </c>
      <c r="G18" s="23">
        <f>'Work items'!I9</f>
        <v/>
      </c>
      <c r="H18" s="14">
        <f>'Work items'!G9*'Work items'!I9</f>
        <v/>
      </c>
      <c r="I18" s="14">
        <f>'Work items'!N9</f>
        <v/>
      </c>
      <c r="J18" s="27" t="inlineStr">
        <is>
          <t>Basic deterministic evaluator behind the same evaluator-adapter pattern</t>
        </is>
      </c>
    </row>
    <row r="19">
      <c r="A19" s="25" t="inlineStr">
        <is>
          <t>WI-004</t>
        </is>
      </c>
      <c r="B19" s="26" t="inlineStr">
        <is>
          <t>M1</t>
        </is>
      </c>
      <c r="C19" s="26" t="inlineStr">
        <is>
          <t>Phase 1</t>
        </is>
      </c>
      <c r="D19" s="27" t="inlineStr">
        <is>
          <t>Evaluation</t>
        </is>
      </c>
      <c r="E19" s="26" t="inlineStr">
        <is>
          <t>M</t>
        </is>
      </c>
      <c r="F19" s="26" t="inlineStr">
        <is>
          <t>SEC</t>
        </is>
      </c>
      <c r="G19" s="23">
        <f>'Work items'!J9</f>
        <v/>
      </c>
      <c r="H19" s="14">
        <f>'Work items'!G9*'Work items'!J9</f>
        <v/>
      </c>
      <c r="I19" s="14">
        <f>'Work items'!O9</f>
        <v/>
      </c>
      <c r="J19" s="27" t="inlineStr">
        <is>
          <t>Basic deterministic evaluator behind the same evaluator-adapter pattern</t>
        </is>
      </c>
    </row>
    <row r="20">
      <c r="A20" s="25" t="inlineStr">
        <is>
          <t>WI-004</t>
        </is>
      </c>
      <c r="B20" s="26" t="inlineStr">
        <is>
          <t>M1</t>
        </is>
      </c>
      <c r="C20" s="26" t="inlineStr">
        <is>
          <t>Phase 1</t>
        </is>
      </c>
      <c r="D20" s="27" t="inlineStr">
        <is>
          <t>Evaluation</t>
        </is>
      </c>
      <c r="E20" s="26" t="inlineStr">
        <is>
          <t>M</t>
        </is>
      </c>
      <c r="F20" s="26" t="inlineStr">
        <is>
          <t>CONS</t>
        </is>
      </c>
      <c r="G20" s="23">
        <f>'Work items'!K9</f>
        <v/>
      </c>
      <c r="H20" s="14">
        <f>'Work items'!G9*'Work items'!K9</f>
        <v/>
      </c>
      <c r="I20" s="14">
        <f>'Work items'!P9</f>
        <v/>
      </c>
      <c r="J20" s="27" t="inlineStr">
        <is>
          <t>Basic deterministic evaluator behind the same evaluator-adapter pattern</t>
        </is>
      </c>
    </row>
    <row r="21">
      <c r="A21" s="4" t="inlineStr">
        <is>
          <t>WI-005</t>
        </is>
      </c>
      <c r="B21" s="21" t="inlineStr">
        <is>
          <t>M1</t>
        </is>
      </c>
      <c r="C21" s="21" t="inlineStr">
        <is>
          <t>Phase 1</t>
        </is>
      </c>
      <c r="D21" s="16" t="inlineStr">
        <is>
          <t>Connector</t>
        </is>
      </c>
      <c r="E21" s="21" t="inlineStr">
        <is>
          <t>L</t>
        </is>
      </c>
      <c r="F21" s="21" t="inlineStr">
        <is>
          <t>AIG</t>
        </is>
      </c>
      <c r="G21" s="23">
        <f>'Work items'!H10</f>
        <v/>
      </c>
      <c r="H21" s="14">
        <f>'Work items'!G10*'Work items'!H10</f>
        <v/>
      </c>
      <c r="I21" s="14">
        <f>'Work items'!M10</f>
        <v/>
      </c>
      <c r="J21" s="16" t="inlineStr">
        <is>
          <t>LiteLLM pre-call connector, invoking input evaluation before model invocation</t>
        </is>
      </c>
    </row>
    <row r="22">
      <c r="A22" s="4" t="inlineStr">
        <is>
          <t>WI-005</t>
        </is>
      </c>
      <c r="B22" s="21" t="inlineStr">
        <is>
          <t>M1</t>
        </is>
      </c>
      <c r="C22" s="21" t="inlineStr">
        <is>
          <t>Phase 1</t>
        </is>
      </c>
      <c r="D22" s="16" t="inlineStr">
        <is>
          <t>Connector</t>
        </is>
      </c>
      <c r="E22" s="21" t="inlineStr">
        <is>
          <t>L</t>
        </is>
      </c>
      <c r="F22" s="21" t="inlineStr">
        <is>
          <t>OPS</t>
        </is>
      </c>
      <c r="G22" s="23">
        <f>'Work items'!I10</f>
        <v/>
      </c>
      <c r="H22" s="14">
        <f>'Work items'!G10*'Work items'!I10</f>
        <v/>
      </c>
      <c r="I22" s="14">
        <f>'Work items'!N10</f>
        <v/>
      </c>
      <c r="J22" s="16" t="inlineStr">
        <is>
          <t>LiteLLM pre-call connector, invoking input evaluation before model invocation</t>
        </is>
      </c>
    </row>
    <row r="23">
      <c r="A23" s="4" t="inlineStr">
        <is>
          <t>WI-005</t>
        </is>
      </c>
      <c r="B23" s="21" t="inlineStr">
        <is>
          <t>M1</t>
        </is>
      </c>
      <c r="C23" s="21" t="inlineStr">
        <is>
          <t>Phase 1</t>
        </is>
      </c>
      <c r="D23" s="16" t="inlineStr">
        <is>
          <t>Connector</t>
        </is>
      </c>
      <c r="E23" s="21" t="inlineStr">
        <is>
          <t>L</t>
        </is>
      </c>
      <c r="F23" s="21" t="inlineStr">
        <is>
          <t>SEC</t>
        </is>
      </c>
      <c r="G23" s="23">
        <f>'Work items'!J10</f>
        <v/>
      </c>
      <c r="H23" s="14">
        <f>'Work items'!G10*'Work items'!J10</f>
        <v/>
      </c>
      <c r="I23" s="14">
        <f>'Work items'!O10</f>
        <v/>
      </c>
      <c r="J23" s="16" t="inlineStr">
        <is>
          <t>LiteLLM pre-call connector, invoking input evaluation before model invocation</t>
        </is>
      </c>
    </row>
    <row r="24">
      <c r="A24" s="4" t="inlineStr">
        <is>
          <t>WI-005</t>
        </is>
      </c>
      <c r="B24" s="21" t="inlineStr">
        <is>
          <t>M1</t>
        </is>
      </c>
      <c r="C24" s="21" t="inlineStr">
        <is>
          <t>Phase 1</t>
        </is>
      </c>
      <c r="D24" s="16" t="inlineStr">
        <is>
          <t>Connector</t>
        </is>
      </c>
      <c r="E24" s="21" t="inlineStr">
        <is>
          <t>L</t>
        </is>
      </c>
      <c r="F24" s="21" t="inlineStr">
        <is>
          <t>CONS</t>
        </is>
      </c>
      <c r="G24" s="23">
        <f>'Work items'!K10</f>
        <v/>
      </c>
      <c r="H24" s="14">
        <f>'Work items'!G10*'Work items'!K10</f>
        <v/>
      </c>
      <c r="I24" s="14">
        <f>'Work items'!P10</f>
        <v/>
      </c>
      <c r="J24" s="16" t="inlineStr">
        <is>
          <t>LiteLLM pre-call connector, invoking input evaluation before model invocation</t>
        </is>
      </c>
    </row>
    <row r="25">
      <c r="A25" s="25" t="inlineStr">
        <is>
          <t>WI-006</t>
        </is>
      </c>
      <c r="B25" s="26" t="inlineStr">
        <is>
          <t>M1</t>
        </is>
      </c>
      <c r="C25" s="26" t="inlineStr">
        <is>
          <t>Phase 1</t>
        </is>
      </c>
      <c r="D25" s="27" t="inlineStr">
        <is>
          <t>Connector</t>
        </is>
      </c>
      <c r="E25" s="26" t="inlineStr">
        <is>
          <t>L</t>
        </is>
      </c>
      <c r="F25" s="26" t="inlineStr">
        <is>
          <t>AIG</t>
        </is>
      </c>
      <c r="G25" s="23">
        <f>'Work items'!H11</f>
        <v/>
      </c>
      <c r="H25" s="14">
        <f>'Work items'!G11*'Work items'!H11</f>
        <v/>
      </c>
      <c r="I25" s="14">
        <f>'Work items'!M11</f>
        <v/>
      </c>
      <c r="J25" s="27" t="inlineStr">
        <is>
          <t>LiteLLM post-call connector, invoking output evaluation and applying safe output fallbacks</t>
        </is>
      </c>
    </row>
    <row r="26">
      <c r="A26" s="25" t="inlineStr">
        <is>
          <t>WI-006</t>
        </is>
      </c>
      <c r="B26" s="26" t="inlineStr">
        <is>
          <t>M1</t>
        </is>
      </c>
      <c r="C26" s="26" t="inlineStr">
        <is>
          <t>Phase 1</t>
        </is>
      </c>
      <c r="D26" s="27" t="inlineStr">
        <is>
          <t>Connector</t>
        </is>
      </c>
      <c r="E26" s="26" t="inlineStr">
        <is>
          <t>L</t>
        </is>
      </c>
      <c r="F26" s="26" t="inlineStr">
        <is>
          <t>OPS</t>
        </is>
      </c>
      <c r="G26" s="23">
        <f>'Work items'!I11</f>
        <v/>
      </c>
      <c r="H26" s="14">
        <f>'Work items'!G11*'Work items'!I11</f>
        <v/>
      </c>
      <c r="I26" s="14">
        <f>'Work items'!N11</f>
        <v/>
      </c>
      <c r="J26" s="27" t="inlineStr">
        <is>
          <t>LiteLLM post-call connector, invoking output evaluation and applying safe output fallbacks</t>
        </is>
      </c>
    </row>
    <row r="27">
      <c r="A27" s="25" t="inlineStr">
        <is>
          <t>WI-006</t>
        </is>
      </c>
      <c r="B27" s="26" t="inlineStr">
        <is>
          <t>M1</t>
        </is>
      </c>
      <c r="C27" s="26" t="inlineStr">
        <is>
          <t>Phase 1</t>
        </is>
      </c>
      <c r="D27" s="27" t="inlineStr">
        <is>
          <t>Connector</t>
        </is>
      </c>
      <c r="E27" s="26" t="inlineStr">
        <is>
          <t>L</t>
        </is>
      </c>
      <c r="F27" s="26" t="inlineStr">
        <is>
          <t>SEC</t>
        </is>
      </c>
      <c r="G27" s="23">
        <f>'Work items'!J11</f>
        <v/>
      </c>
      <c r="H27" s="14">
        <f>'Work items'!G11*'Work items'!J11</f>
        <v/>
      </c>
      <c r="I27" s="14">
        <f>'Work items'!O11</f>
        <v/>
      </c>
      <c r="J27" s="27" t="inlineStr">
        <is>
          <t>LiteLLM post-call connector, invoking output evaluation and applying safe output fallbacks</t>
        </is>
      </c>
    </row>
    <row r="28">
      <c r="A28" s="25" t="inlineStr">
        <is>
          <t>WI-006</t>
        </is>
      </c>
      <c r="B28" s="26" t="inlineStr">
        <is>
          <t>M1</t>
        </is>
      </c>
      <c r="C28" s="26" t="inlineStr">
        <is>
          <t>Phase 1</t>
        </is>
      </c>
      <c r="D28" s="27" t="inlineStr">
        <is>
          <t>Connector</t>
        </is>
      </c>
      <c r="E28" s="26" t="inlineStr">
        <is>
          <t>L</t>
        </is>
      </c>
      <c r="F28" s="26" t="inlineStr">
        <is>
          <t>CONS</t>
        </is>
      </c>
      <c r="G28" s="23">
        <f>'Work items'!K11</f>
        <v/>
      </c>
      <c r="H28" s="14">
        <f>'Work items'!G11*'Work items'!K11</f>
        <v/>
      </c>
      <c r="I28" s="14">
        <f>'Work items'!P11</f>
        <v/>
      </c>
      <c r="J28" s="27" t="inlineStr">
        <is>
          <t>LiteLLM post-call connector, invoking output evaluation and applying safe output fallbacks</t>
        </is>
      </c>
    </row>
    <row r="29">
      <c r="A29" s="4" t="inlineStr">
        <is>
          <t>WI-007</t>
        </is>
      </c>
      <c r="B29" s="21" t="inlineStr">
        <is>
          <t>M1</t>
        </is>
      </c>
      <c r="C29" s="21" t="inlineStr">
        <is>
          <t>Phase 1</t>
        </is>
      </c>
      <c r="D29" s="16" t="inlineStr">
        <is>
          <t>Connector</t>
        </is>
      </c>
      <c r="E29" s="21" t="inlineStr">
        <is>
          <t>S</t>
        </is>
      </c>
      <c r="F29" s="21" t="inlineStr">
        <is>
          <t>AIG</t>
        </is>
      </c>
      <c r="G29" s="23">
        <f>'Work items'!H12</f>
        <v/>
      </c>
      <c r="H29" s="14">
        <f>'Work items'!G12*'Work items'!H12</f>
        <v/>
      </c>
      <c r="I29" s="14">
        <f>'Work items'!M12</f>
        <v/>
      </c>
      <c r="J29" s="16" t="inlineStr">
        <is>
          <t>Conformance: connectors invoke the Evaluation API only — no policy logic, thresholds or detection rules embedded</t>
        </is>
      </c>
    </row>
    <row r="30">
      <c r="A30" s="4" t="inlineStr">
        <is>
          <t>WI-007</t>
        </is>
      </c>
      <c r="B30" s="21" t="inlineStr">
        <is>
          <t>M1</t>
        </is>
      </c>
      <c r="C30" s="21" t="inlineStr">
        <is>
          <t>Phase 1</t>
        </is>
      </c>
      <c r="D30" s="16" t="inlineStr">
        <is>
          <t>Connector</t>
        </is>
      </c>
      <c r="E30" s="21" t="inlineStr">
        <is>
          <t>S</t>
        </is>
      </c>
      <c r="F30" s="21" t="inlineStr">
        <is>
          <t>OPS</t>
        </is>
      </c>
      <c r="G30" s="23">
        <f>'Work items'!I12</f>
        <v/>
      </c>
      <c r="H30" s="14">
        <f>'Work items'!G12*'Work items'!I12</f>
        <v/>
      </c>
      <c r="I30" s="14">
        <f>'Work items'!N12</f>
        <v/>
      </c>
      <c r="J30" s="16" t="inlineStr">
        <is>
          <t>Conformance: connectors invoke the Evaluation API only — no policy logic, thresholds or detection rules embedded</t>
        </is>
      </c>
    </row>
    <row r="31">
      <c r="A31" s="4" t="inlineStr">
        <is>
          <t>WI-007</t>
        </is>
      </c>
      <c r="B31" s="21" t="inlineStr">
        <is>
          <t>M1</t>
        </is>
      </c>
      <c r="C31" s="21" t="inlineStr">
        <is>
          <t>Phase 1</t>
        </is>
      </c>
      <c r="D31" s="16" t="inlineStr">
        <is>
          <t>Connector</t>
        </is>
      </c>
      <c r="E31" s="21" t="inlineStr">
        <is>
          <t>S</t>
        </is>
      </c>
      <c r="F31" s="21" t="inlineStr">
        <is>
          <t>SEC</t>
        </is>
      </c>
      <c r="G31" s="23">
        <f>'Work items'!J12</f>
        <v/>
      </c>
      <c r="H31" s="14">
        <f>'Work items'!G12*'Work items'!J12</f>
        <v/>
      </c>
      <c r="I31" s="14">
        <f>'Work items'!O12</f>
        <v/>
      </c>
      <c r="J31" s="16" t="inlineStr">
        <is>
          <t>Conformance: connectors invoke the Evaluation API only — no policy logic, thresholds or detection rules embedded</t>
        </is>
      </c>
    </row>
    <row r="32">
      <c r="A32" s="4" t="inlineStr">
        <is>
          <t>WI-007</t>
        </is>
      </c>
      <c r="B32" s="21" t="inlineStr">
        <is>
          <t>M1</t>
        </is>
      </c>
      <c r="C32" s="21" t="inlineStr">
        <is>
          <t>Phase 1</t>
        </is>
      </c>
      <c r="D32" s="16" t="inlineStr">
        <is>
          <t>Connector</t>
        </is>
      </c>
      <c r="E32" s="21" t="inlineStr">
        <is>
          <t>S</t>
        </is>
      </c>
      <c r="F32" s="21" t="inlineStr">
        <is>
          <t>CONS</t>
        </is>
      </c>
      <c r="G32" s="23">
        <f>'Work items'!K12</f>
        <v/>
      </c>
      <c r="H32" s="14">
        <f>'Work items'!G12*'Work items'!K12</f>
        <v/>
      </c>
      <c r="I32" s="14">
        <f>'Work items'!P12</f>
        <v/>
      </c>
      <c r="J32" s="16" t="inlineStr">
        <is>
          <t>Conformance: connectors invoke the Evaluation API only — no policy logic, thresholds or detection rules embedded</t>
        </is>
      </c>
    </row>
    <row r="33">
      <c r="A33" s="25" t="inlineStr">
        <is>
          <t>WI-008</t>
        </is>
      </c>
      <c r="B33" s="26" t="inlineStr">
        <is>
          <t>M1</t>
        </is>
      </c>
      <c r="C33" s="26" t="inlineStr">
        <is>
          <t>Phase 1</t>
        </is>
      </c>
      <c r="D33" s="27" t="inlineStr">
        <is>
          <t>Runtime</t>
        </is>
      </c>
      <c r="E33" s="26" t="inlineStr">
        <is>
          <t>M</t>
        </is>
      </c>
      <c r="F33" s="26" t="inlineStr">
        <is>
          <t>AIG</t>
        </is>
      </c>
      <c r="G33" s="23">
        <f>'Work items'!H13</f>
        <v/>
      </c>
      <c r="H33" s="14">
        <f>'Work items'!G13*'Work items'!H13</f>
        <v/>
      </c>
      <c r="I33" s="14">
        <f>'Work items'!M13</f>
        <v/>
      </c>
      <c r="J33" s="27" t="inlineStr">
        <is>
          <t>Observe mode implemented and made the default state for a new policy binding</t>
        </is>
      </c>
    </row>
    <row r="34">
      <c r="A34" s="25" t="inlineStr">
        <is>
          <t>WI-008</t>
        </is>
      </c>
      <c r="B34" s="26" t="inlineStr">
        <is>
          <t>M1</t>
        </is>
      </c>
      <c r="C34" s="26" t="inlineStr">
        <is>
          <t>Phase 1</t>
        </is>
      </c>
      <c r="D34" s="27" t="inlineStr">
        <is>
          <t>Runtime</t>
        </is>
      </c>
      <c r="E34" s="26" t="inlineStr">
        <is>
          <t>M</t>
        </is>
      </c>
      <c r="F34" s="26" t="inlineStr">
        <is>
          <t>OPS</t>
        </is>
      </c>
      <c r="G34" s="23">
        <f>'Work items'!I13</f>
        <v/>
      </c>
      <c r="H34" s="14">
        <f>'Work items'!G13*'Work items'!I13</f>
        <v/>
      </c>
      <c r="I34" s="14">
        <f>'Work items'!N13</f>
        <v/>
      </c>
      <c r="J34" s="27" t="inlineStr">
        <is>
          <t>Observe mode implemented and made the default state for a new policy binding</t>
        </is>
      </c>
    </row>
    <row r="35">
      <c r="A35" s="25" t="inlineStr">
        <is>
          <t>WI-008</t>
        </is>
      </c>
      <c r="B35" s="26" t="inlineStr">
        <is>
          <t>M1</t>
        </is>
      </c>
      <c r="C35" s="26" t="inlineStr">
        <is>
          <t>Phase 1</t>
        </is>
      </c>
      <c r="D35" s="27" t="inlineStr">
        <is>
          <t>Runtime</t>
        </is>
      </c>
      <c r="E35" s="26" t="inlineStr">
        <is>
          <t>M</t>
        </is>
      </c>
      <c r="F35" s="26" t="inlineStr">
        <is>
          <t>SEC</t>
        </is>
      </c>
      <c r="G35" s="23">
        <f>'Work items'!J13</f>
        <v/>
      </c>
      <c r="H35" s="14">
        <f>'Work items'!G13*'Work items'!J13</f>
        <v/>
      </c>
      <c r="I35" s="14">
        <f>'Work items'!O13</f>
        <v/>
      </c>
      <c r="J35" s="27" t="inlineStr">
        <is>
          <t>Observe mode implemented and made the default state for a new policy binding</t>
        </is>
      </c>
    </row>
    <row r="36">
      <c r="A36" s="25" t="inlineStr">
        <is>
          <t>WI-008</t>
        </is>
      </c>
      <c r="B36" s="26" t="inlineStr">
        <is>
          <t>M1</t>
        </is>
      </c>
      <c r="C36" s="26" t="inlineStr">
        <is>
          <t>Phase 1</t>
        </is>
      </c>
      <c r="D36" s="27" t="inlineStr">
        <is>
          <t>Runtime</t>
        </is>
      </c>
      <c r="E36" s="26" t="inlineStr">
        <is>
          <t>M</t>
        </is>
      </c>
      <c r="F36" s="26" t="inlineStr">
        <is>
          <t>CONS</t>
        </is>
      </c>
      <c r="G36" s="23">
        <f>'Work items'!K13</f>
        <v/>
      </c>
      <c r="H36" s="14">
        <f>'Work items'!G13*'Work items'!K13</f>
        <v/>
      </c>
      <c r="I36" s="14">
        <f>'Work items'!P13</f>
        <v/>
      </c>
      <c r="J36" s="27" t="inlineStr">
        <is>
          <t>Observe mode implemented and made the default state for a new policy binding</t>
        </is>
      </c>
    </row>
    <row r="37">
      <c r="A37" s="4" t="inlineStr">
        <is>
          <t>WI-009</t>
        </is>
      </c>
      <c r="B37" s="21" t="inlineStr">
        <is>
          <t>M1</t>
        </is>
      </c>
      <c r="C37" s="21" t="inlineStr">
        <is>
          <t>Phase 1</t>
        </is>
      </c>
      <c r="D37" s="16" t="inlineStr">
        <is>
          <t>Audit</t>
        </is>
      </c>
      <c r="E37" s="21" t="inlineStr">
        <is>
          <t>L</t>
        </is>
      </c>
      <c r="F37" s="21" t="inlineStr">
        <is>
          <t>AIG</t>
        </is>
      </c>
      <c r="G37" s="23">
        <f>'Work items'!H14</f>
        <v/>
      </c>
      <c r="H37" s="14">
        <f>'Work items'!G14*'Work items'!H14</f>
        <v/>
      </c>
      <c r="I37" s="14">
        <f>'Work items'!M14</f>
        <v/>
      </c>
      <c r="J37" s="16" t="inlineStr">
        <is>
          <t>Basic auditing: decision metadata logged for every evaluation — tenant, workload, policy version, stage, decision, reason codes, evaluator versions, timestamp, correlation identifier, retention flag</t>
        </is>
      </c>
    </row>
    <row r="38">
      <c r="A38" s="4" t="inlineStr">
        <is>
          <t>WI-009</t>
        </is>
      </c>
      <c r="B38" s="21" t="inlineStr">
        <is>
          <t>M1</t>
        </is>
      </c>
      <c r="C38" s="21" t="inlineStr">
        <is>
          <t>Phase 1</t>
        </is>
      </c>
      <c r="D38" s="16" t="inlineStr">
        <is>
          <t>Audit</t>
        </is>
      </c>
      <c r="E38" s="21" t="inlineStr">
        <is>
          <t>L</t>
        </is>
      </c>
      <c r="F38" s="21" t="inlineStr">
        <is>
          <t>OPS</t>
        </is>
      </c>
      <c r="G38" s="23">
        <f>'Work items'!I14</f>
        <v/>
      </c>
      <c r="H38" s="14">
        <f>'Work items'!G14*'Work items'!I14</f>
        <v/>
      </c>
      <c r="I38" s="14">
        <f>'Work items'!N14</f>
        <v/>
      </c>
      <c r="J38" s="16" t="inlineStr">
        <is>
          <t>Basic auditing: decision metadata logged for every evaluation — tenant, workload, policy version, stage, decision, reason codes, evaluator versions, timestamp, correlation identifier, retention flag</t>
        </is>
      </c>
    </row>
    <row r="39">
      <c r="A39" s="4" t="inlineStr">
        <is>
          <t>WI-009</t>
        </is>
      </c>
      <c r="B39" s="21" t="inlineStr">
        <is>
          <t>M1</t>
        </is>
      </c>
      <c r="C39" s="21" t="inlineStr">
        <is>
          <t>Phase 1</t>
        </is>
      </c>
      <c r="D39" s="16" t="inlineStr">
        <is>
          <t>Audit</t>
        </is>
      </c>
      <c r="E39" s="21" t="inlineStr">
        <is>
          <t>L</t>
        </is>
      </c>
      <c r="F39" s="21" t="inlineStr">
        <is>
          <t>SEC</t>
        </is>
      </c>
      <c r="G39" s="23">
        <f>'Work items'!J14</f>
        <v/>
      </c>
      <c r="H39" s="14">
        <f>'Work items'!G14*'Work items'!J14</f>
        <v/>
      </c>
      <c r="I39" s="14">
        <f>'Work items'!O14</f>
        <v/>
      </c>
      <c r="J39" s="16" t="inlineStr">
        <is>
          <t>Basic auditing: decision metadata logged for every evaluation — tenant, workload, policy version, stage, decision, reason codes, evaluator versions, timestamp, correlation identifier, retention flag</t>
        </is>
      </c>
    </row>
    <row r="40">
      <c r="A40" s="4" t="inlineStr">
        <is>
          <t>WI-009</t>
        </is>
      </c>
      <c r="B40" s="21" t="inlineStr">
        <is>
          <t>M1</t>
        </is>
      </c>
      <c r="C40" s="21" t="inlineStr">
        <is>
          <t>Phase 1</t>
        </is>
      </c>
      <c r="D40" s="16" t="inlineStr">
        <is>
          <t>Audit</t>
        </is>
      </c>
      <c r="E40" s="21" t="inlineStr">
        <is>
          <t>L</t>
        </is>
      </c>
      <c r="F40" s="21" t="inlineStr">
        <is>
          <t>CONS</t>
        </is>
      </c>
      <c r="G40" s="23">
        <f>'Work items'!K14</f>
        <v/>
      </c>
      <c r="H40" s="14">
        <f>'Work items'!G14*'Work items'!K14</f>
        <v/>
      </c>
      <c r="I40" s="14">
        <f>'Work items'!P14</f>
        <v/>
      </c>
      <c r="J40" s="16" t="inlineStr">
        <is>
          <t>Basic auditing: decision metadata logged for every evaluation — tenant, workload, policy version, stage, decision, reason codes, evaluator versions, timestamp, correlation identifier, retention flag</t>
        </is>
      </c>
    </row>
    <row r="41">
      <c r="A41" s="25" t="inlineStr">
        <is>
          <t>WI-010</t>
        </is>
      </c>
      <c r="B41" s="26" t="inlineStr">
        <is>
          <t>M1</t>
        </is>
      </c>
      <c r="C41" s="26" t="inlineStr">
        <is>
          <t>Phase 1</t>
        </is>
      </c>
      <c r="D41" s="27" t="inlineStr">
        <is>
          <t>Observability</t>
        </is>
      </c>
      <c r="E41" s="26" t="inlineStr">
        <is>
          <t>M</t>
        </is>
      </c>
      <c r="F41" s="26" t="inlineStr">
        <is>
          <t>AIG</t>
        </is>
      </c>
      <c r="G41" s="23">
        <f>'Work items'!H15</f>
        <v/>
      </c>
      <c r="H41" s="14">
        <f>'Work items'!G15*'Work items'!H15</f>
        <v/>
      </c>
      <c r="I41" s="14">
        <f>'Work items'!M15</f>
        <v/>
      </c>
      <c r="J41" s="27" t="inlineStr">
        <is>
          <t>Evaluation latency measured per evaluation at P50, P95 and P99</t>
        </is>
      </c>
    </row>
    <row r="42">
      <c r="A42" s="25" t="inlineStr">
        <is>
          <t>WI-010</t>
        </is>
      </c>
      <c r="B42" s="26" t="inlineStr">
        <is>
          <t>M1</t>
        </is>
      </c>
      <c r="C42" s="26" t="inlineStr">
        <is>
          <t>Phase 1</t>
        </is>
      </c>
      <c r="D42" s="27" t="inlineStr">
        <is>
          <t>Observability</t>
        </is>
      </c>
      <c r="E42" s="26" t="inlineStr">
        <is>
          <t>M</t>
        </is>
      </c>
      <c r="F42" s="26" t="inlineStr">
        <is>
          <t>OPS</t>
        </is>
      </c>
      <c r="G42" s="23">
        <f>'Work items'!I15</f>
        <v/>
      </c>
      <c r="H42" s="14">
        <f>'Work items'!G15*'Work items'!I15</f>
        <v/>
      </c>
      <c r="I42" s="14">
        <f>'Work items'!N15</f>
        <v/>
      </c>
      <c r="J42" s="27" t="inlineStr">
        <is>
          <t>Evaluation latency measured per evaluation at P50, P95 and P99</t>
        </is>
      </c>
    </row>
    <row r="43">
      <c r="A43" s="25" t="inlineStr">
        <is>
          <t>WI-010</t>
        </is>
      </c>
      <c r="B43" s="26" t="inlineStr">
        <is>
          <t>M1</t>
        </is>
      </c>
      <c r="C43" s="26" t="inlineStr">
        <is>
          <t>Phase 1</t>
        </is>
      </c>
      <c r="D43" s="27" t="inlineStr">
        <is>
          <t>Observability</t>
        </is>
      </c>
      <c r="E43" s="26" t="inlineStr">
        <is>
          <t>M</t>
        </is>
      </c>
      <c r="F43" s="26" t="inlineStr">
        <is>
          <t>SEC</t>
        </is>
      </c>
      <c r="G43" s="23">
        <f>'Work items'!J15</f>
        <v/>
      </c>
      <c r="H43" s="14">
        <f>'Work items'!G15*'Work items'!J15</f>
        <v/>
      </c>
      <c r="I43" s="14">
        <f>'Work items'!O15</f>
        <v/>
      </c>
      <c r="J43" s="27" t="inlineStr">
        <is>
          <t>Evaluation latency measured per evaluation at P50, P95 and P99</t>
        </is>
      </c>
    </row>
    <row r="44">
      <c r="A44" s="25" t="inlineStr">
        <is>
          <t>WI-010</t>
        </is>
      </c>
      <c r="B44" s="26" t="inlineStr">
        <is>
          <t>M1</t>
        </is>
      </c>
      <c r="C44" s="26" t="inlineStr">
        <is>
          <t>Phase 1</t>
        </is>
      </c>
      <c r="D44" s="27" t="inlineStr">
        <is>
          <t>Observability</t>
        </is>
      </c>
      <c r="E44" s="26" t="inlineStr">
        <is>
          <t>M</t>
        </is>
      </c>
      <c r="F44" s="26" t="inlineStr">
        <is>
          <t>CONS</t>
        </is>
      </c>
      <c r="G44" s="23">
        <f>'Work items'!K15</f>
        <v/>
      </c>
      <c r="H44" s="14">
        <f>'Work items'!G15*'Work items'!K15</f>
        <v/>
      </c>
      <c r="I44" s="14">
        <f>'Work items'!P15</f>
        <v/>
      </c>
      <c r="J44" s="27" t="inlineStr">
        <is>
          <t>Evaluation latency measured per evaluation at P50, P95 and P99</t>
        </is>
      </c>
    </row>
    <row r="45">
      <c r="A45" s="4" t="inlineStr">
        <is>
          <t>WI-011</t>
        </is>
      </c>
      <c r="B45" s="21" t="inlineStr">
        <is>
          <t>M1</t>
        </is>
      </c>
      <c r="C45" s="21" t="inlineStr">
        <is>
          <t>Phase 1</t>
        </is>
      </c>
      <c r="D45" s="16" t="inlineStr">
        <is>
          <t>Infrastructure</t>
        </is>
      </c>
      <c r="E45" s="21" t="inlineStr">
        <is>
          <t>L</t>
        </is>
      </c>
      <c r="F45" s="21" t="inlineStr">
        <is>
          <t>AIG</t>
        </is>
      </c>
      <c r="G45" s="23">
        <f>'Work items'!H16</f>
        <v/>
      </c>
      <c r="H45" s="14">
        <f>'Work items'!G16*'Work items'!H16</f>
        <v/>
      </c>
      <c r="I45" s="14">
        <f>'Work items'!M16</f>
        <v/>
      </c>
      <c r="J45" s="16" t="inlineStr">
        <is>
          <t>Runtime deployed internally within the minimal account model — one non-production and one production account</t>
        </is>
      </c>
    </row>
    <row r="46">
      <c r="A46" s="4" t="inlineStr">
        <is>
          <t>WI-011</t>
        </is>
      </c>
      <c r="B46" s="21" t="inlineStr">
        <is>
          <t>M1</t>
        </is>
      </c>
      <c r="C46" s="21" t="inlineStr">
        <is>
          <t>Phase 1</t>
        </is>
      </c>
      <c r="D46" s="16" t="inlineStr">
        <is>
          <t>Infrastructure</t>
        </is>
      </c>
      <c r="E46" s="21" t="inlineStr">
        <is>
          <t>L</t>
        </is>
      </c>
      <c r="F46" s="21" t="inlineStr">
        <is>
          <t>OPS</t>
        </is>
      </c>
      <c r="G46" s="23">
        <f>'Work items'!I16</f>
        <v/>
      </c>
      <c r="H46" s="14">
        <f>'Work items'!G16*'Work items'!I16</f>
        <v/>
      </c>
      <c r="I46" s="14">
        <f>'Work items'!N16</f>
        <v/>
      </c>
      <c r="J46" s="16" t="inlineStr">
        <is>
          <t>Runtime deployed internally within the minimal account model — one non-production and one production account</t>
        </is>
      </c>
    </row>
    <row r="47">
      <c r="A47" s="4" t="inlineStr">
        <is>
          <t>WI-011</t>
        </is>
      </c>
      <c r="B47" s="21" t="inlineStr">
        <is>
          <t>M1</t>
        </is>
      </c>
      <c r="C47" s="21" t="inlineStr">
        <is>
          <t>Phase 1</t>
        </is>
      </c>
      <c r="D47" s="16" t="inlineStr">
        <is>
          <t>Infrastructure</t>
        </is>
      </c>
      <c r="E47" s="21" t="inlineStr">
        <is>
          <t>L</t>
        </is>
      </c>
      <c r="F47" s="21" t="inlineStr">
        <is>
          <t>SEC</t>
        </is>
      </c>
      <c r="G47" s="23">
        <f>'Work items'!J16</f>
        <v/>
      </c>
      <c r="H47" s="14">
        <f>'Work items'!G16*'Work items'!J16</f>
        <v/>
      </c>
      <c r="I47" s="14">
        <f>'Work items'!O16</f>
        <v/>
      </c>
      <c r="J47" s="16" t="inlineStr">
        <is>
          <t>Runtime deployed internally within the minimal account model — one non-production and one production account</t>
        </is>
      </c>
    </row>
    <row r="48">
      <c r="A48" s="4" t="inlineStr">
        <is>
          <t>WI-011</t>
        </is>
      </c>
      <c r="B48" s="21" t="inlineStr">
        <is>
          <t>M1</t>
        </is>
      </c>
      <c r="C48" s="21" t="inlineStr">
        <is>
          <t>Phase 1</t>
        </is>
      </c>
      <c r="D48" s="16" t="inlineStr">
        <is>
          <t>Infrastructure</t>
        </is>
      </c>
      <c r="E48" s="21" t="inlineStr">
        <is>
          <t>L</t>
        </is>
      </c>
      <c r="F48" s="21" t="inlineStr">
        <is>
          <t>CONS</t>
        </is>
      </c>
      <c r="G48" s="23">
        <f>'Work items'!K16</f>
        <v/>
      </c>
      <c r="H48" s="14">
        <f>'Work items'!G16*'Work items'!K16</f>
        <v/>
      </c>
      <c r="I48" s="14">
        <f>'Work items'!P16</f>
        <v/>
      </c>
      <c r="J48" s="16" t="inlineStr">
        <is>
          <t>Runtime deployed internally within the minimal account model — one non-production and one production account</t>
        </is>
      </c>
    </row>
    <row r="49">
      <c r="A49" s="25" t="inlineStr">
        <is>
          <t>WI-012</t>
        </is>
      </c>
      <c r="B49" s="26" t="inlineStr">
        <is>
          <t>M1</t>
        </is>
      </c>
      <c r="C49" s="26" t="inlineStr">
        <is>
          <t>Phase 1</t>
        </is>
      </c>
      <c r="D49" s="27" t="inlineStr">
        <is>
          <t>Infrastructure</t>
        </is>
      </c>
      <c r="E49" s="26" t="inlineStr">
        <is>
          <t>S</t>
        </is>
      </c>
      <c r="F49" s="26" t="inlineStr">
        <is>
          <t>AIG</t>
        </is>
      </c>
      <c r="G49" s="23">
        <f>'Work items'!H17</f>
        <v/>
      </c>
      <c r="H49" s="14">
        <f>'Work items'!G17*'Work items'!H17</f>
        <v/>
      </c>
      <c r="I49" s="14">
        <f>'Work items'!M17</f>
        <v/>
      </c>
      <c r="J49" s="27" t="inlineStr">
        <is>
          <t>TLS on all runtime communication between connectors, the Evaluation API and evaluation engines</t>
        </is>
      </c>
    </row>
    <row r="50">
      <c r="A50" s="25" t="inlineStr">
        <is>
          <t>WI-012</t>
        </is>
      </c>
      <c r="B50" s="26" t="inlineStr">
        <is>
          <t>M1</t>
        </is>
      </c>
      <c r="C50" s="26" t="inlineStr">
        <is>
          <t>Phase 1</t>
        </is>
      </c>
      <c r="D50" s="27" t="inlineStr">
        <is>
          <t>Infrastructure</t>
        </is>
      </c>
      <c r="E50" s="26" t="inlineStr">
        <is>
          <t>S</t>
        </is>
      </c>
      <c r="F50" s="26" t="inlineStr">
        <is>
          <t>OPS</t>
        </is>
      </c>
      <c r="G50" s="23">
        <f>'Work items'!I17</f>
        <v/>
      </c>
      <c r="H50" s="14">
        <f>'Work items'!G17*'Work items'!I17</f>
        <v/>
      </c>
      <c r="I50" s="14">
        <f>'Work items'!N17</f>
        <v/>
      </c>
      <c r="J50" s="27" t="inlineStr">
        <is>
          <t>TLS on all runtime communication between connectors, the Evaluation API and evaluation engines</t>
        </is>
      </c>
    </row>
    <row r="51">
      <c r="A51" s="25" t="inlineStr">
        <is>
          <t>WI-012</t>
        </is>
      </c>
      <c r="B51" s="26" t="inlineStr">
        <is>
          <t>M1</t>
        </is>
      </c>
      <c r="C51" s="26" t="inlineStr">
        <is>
          <t>Phase 1</t>
        </is>
      </c>
      <c r="D51" s="27" t="inlineStr">
        <is>
          <t>Infrastructure</t>
        </is>
      </c>
      <c r="E51" s="26" t="inlineStr">
        <is>
          <t>S</t>
        </is>
      </c>
      <c r="F51" s="26" t="inlineStr">
        <is>
          <t>SEC</t>
        </is>
      </c>
      <c r="G51" s="23">
        <f>'Work items'!J17</f>
        <v/>
      </c>
      <c r="H51" s="14">
        <f>'Work items'!G17*'Work items'!J17</f>
        <v/>
      </c>
      <c r="I51" s="14">
        <f>'Work items'!O17</f>
        <v/>
      </c>
      <c r="J51" s="27" t="inlineStr">
        <is>
          <t>TLS on all runtime communication between connectors, the Evaluation API and evaluation engines</t>
        </is>
      </c>
    </row>
    <row r="52">
      <c r="A52" s="25" t="inlineStr">
        <is>
          <t>WI-012</t>
        </is>
      </c>
      <c r="B52" s="26" t="inlineStr">
        <is>
          <t>M1</t>
        </is>
      </c>
      <c r="C52" s="26" t="inlineStr">
        <is>
          <t>Phase 1</t>
        </is>
      </c>
      <c r="D52" s="27" t="inlineStr">
        <is>
          <t>Infrastructure</t>
        </is>
      </c>
      <c r="E52" s="26" t="inlineStr">
        <is>
          <t>S</t>
        </is>
      </c>
      <c r="F52" s="26" t="inlineStr">
        <is>
          <t>CONS</t>
        </is>
      </c>
      <c r="G52" s="23">
        <f>'Work items'!K17</f>
        <v/>
      </c>
      <c r="H52" s="14">
        <f>'Work items'!G17*'Work items'!K17</f>
        <v/>
      </c>
      <c r="I52" s="14">
        <f>'Work items'!P17</f>
        <v/>
      </c>
      <c r="J52" s="27" t="inlineStr">
        <is>
          <t>TLS on all runtime communication between connectors, the Evaluation API and evaluation engines</t>
        </is>
      </c>
    </row>
    <row r="53">
      <c r="A53" s="4" t="inlineStr">
        <is>
          <t>WI-013</t>
        </is>
      </c>
      <c r="B53" s="21" t="inlineStr">
        <is>
          <t>M1</t>
        </is>
      </c>
      <c r="C53" s="21" t="inlineStr">
        <is>
          <t>Phase 1</t>
        </is>
      </c>
      <c r="D53" s="16" t="inlineStr">
        <is>
          <t>Validation</t>
        </is>
      </c>
      <c r="E53" s="21" t="inlineStr">
        <is>
          <t>M</t>
        </is>
      </c>
      <c r="F53" s="21" t="inlineStr">
        <is>
          <t>AIG</t>
        </is>
      </c>
      <c r="G53" s="23">
        <f>'Work items'!H18</f>
        <v/>
      </c>
      <c r="H53" s="14">
        <f>'Work items'!G18*'Work items'!H18</f>
        <v/>
      </c>
      <c r="I53" s="14">
        <f>'Work items'!M18</f>
        <v/>
      </c>
      <c r="J53" s="16" t="inlineStr">
        <is>
          <t>Two independently deployed instances resolve decisions from the same published policy version, neither transmitting provider credentials — MVP-01, MVP-02, MVP-03</t>
        </is>
      </c>
    </row>
    <row r="54">
      <c r="A54" s="4" t="inlineStr">
        <is>
          <t>WI-013</t>
        </is>
      </c>
      <c r="B54" s="21" t="inlineStr">
        <is>
          <t>M1</t>
        </is>
      </c>
      <c r="C54" s="21" t="inlineStr">
        <is>
          <t>Phase 1</t>
        </is>
      </c>
      <c r="D54" s="16" t="inlineStr">
        <is>
          <t>Validation</t>
        </is>
      </c>
      <c r="E54" s="21" t="inlineStr">
        <is>
          <t>M</t>
        </is>
      </c>
      <c r="F54" s="21" t="inlineStr">
        <is>
          <t>OPS</t>
        </is>
      </c>
      <c r="G54" s="23">
        <f>'Work items'!I18</f>
        <v/>
      </c>
      <c r="H54" s="14">
        <f>'Work items'!G18*'Work items'!I18</f>
        <v/>
      </c>
      <c r="I54" s="14">
        <f>'Work items'!N18</f>
        <v/>
      </c>
      <c r="J54" s="16" t="inlineStr">
        <is>
          <t>Two independently deployed instances resolve decisions from the same published policy version, neither transmitting provider credentials — MVP-01, MVP-02, MVP-03</t>
        </is>
      </c>
    </row>
    <row r="55">
      <c r="A55" s="4" t="inlineStr">
        <is>
          <t>WI-013</t>
        </is>
      </c>
      <c r="B55" s="21" t="inlineStr">
        <is>
          <t>M1</t>
        </is>
      </c>
      <c r="C55" s="21" t="inlineStr">
        <is>
          <t>Phase 1</t>
        </is>
      </c>
      <c r="D55" s="16" t="inlineStr">
        <is>
          <t>Validation</t>
        </is>
      </c>
      <c r="E55" s="21" t="inlineStr">
        <is>
          <t>M</t>
        </is>
      </c>
      <c r="F55" s="21" t="inlineStr">
        <is>
          <t>SEC</t>
        </is>
      </c>
      <c r="G55" s="23">
        <f>'Work items'!J18</f>
        <v/>
      </c>
      <c r="H55" s="14">
        <f>'Work items'!G18*'Work items'!J18</f>
        <v/>
      </c>
      <c r="I55" s="14">
        <f>'Work items'!O18</f>
        <v/>
      </c>
      <c r="J55" s="16" t="inlineStr">
        <is>
          <t>Two independently deployed instances resolve decisions from the same published policy version, neither transmitting provider credentials — MVP-01, MVP-02, MVP-03</t>
        </is>
      </c>
    </row>
    <row r="56">
      <c r="A56" s="4" t="inlineStr">
        <is>
          <t>WI-013</t>
        </is>
      </c>
      <c r="B56" s="21" t="inlineStr">
        <is>
          <t>M1</t>
        </is>
      </c>
      <c r="C56" s="21" t="inlineStr">
        <is>
          <t>Phase 1</t>
        </is>
      </c>
      <c r="D56" s="16" t="inlineStr">
        <is>
          <t>Validation</t>
        </is>
      </c>
      <c r="E56" s="21" t="inlineStr">
        <is>
          <t>M</t>
        </is>
      </c>
      <c r="F56" s="21" t="inlineStr">
        <is>
          <t>CONS</t>
        </is>
      </c>
      <c r="G56" s="23">
        <f>'Work items'!K18</f>
        <v/>
      </c>
      <c r="H56" s="14">
        <f>'Work items'!G18*'Work items'!K18</f>
        <v/>
      </c>
      <c r="I56" s="14">
        <f>'Work items'!P18</f>
        <v/>
      </c>
      <c r="J56" s="16" t="inlineStr">
        <is>
          <t>Two independently deployed instances resolve decisions from the same published policy version, neither transmitting provider credentials — MVP-01, MVP-02, MVP-03</t>
        </is>
      </c>
    </row>
    <row r="57">
      <c r="A57" s="25" t="inlineStr">
        <is>
          <t>WI-014</t>
        </is>
      </c>
      <c r="B57" s="26" t="inlineStr">
        <is>
          <t>M1</t>
        </is>
      </c>
      <c r="C57" s="26" t="inlineStr">
        <is>
          <t>Phase 1</t>
        </is>
      </c>
      <c r="D57" s="27" t="inlineStr">
        <is>
          <t>Validation</t>
        </is>
      </c>
      <c r="E57" s="26" t="inlineStr">
        <is>
          <t>S</t>
        </is>
      </c>
      <c r="F57" s="26" t="inlineStr">
        <is>
          <t>AIG</t>
        </is>
      </c>
      <c r="G57" s="23">
        <f>'Work items'!H19</f>
        <v/>
      </c>
      <c r="H57" s="14">
        <f>'Work items'!G19*'Work items'!H19</f>
        <v/>
      </c>
      <c r="I57" s="14">
        <f>'Work items'!M19</f>
        <v/>
      </c>
      <c r="J57" s="27" t="inlineStr">
        <is>
          <t>One of the two workloads runs in observe mode — MVP-04</t>
        </is>
      </c>
    </row>
    <row r="58">
      <c r="A58" s="25" t="inlineStr">
        <is>
          <t>WI-014</t>
        </is>
      </c>
      <c r="B58" s="26" t="inlineStr">
        <is>
          <t>M1</t>
        </is>
      </c>
      <c r="C58" s="26" t="inlineStr">
        <is>
          <t>Phase 1</t>
        </is>
      </c>
      <c r="D58" s="27" t="inlineStr">
        <is>
          <t>Validation</t>
        </is>
      </c>
      <c r="E58" s="26" t="inlineStr">
        <is>
          <t>S</t>
        </is>
      </c>
      <c r="F58" s="26" t="inlineStr">
        <is>
          <t>OPS</t>
        </is>
      </c>
      <c r="G58" s="23">
        <f>'Work items'!I19</f>
        <v/>
      </c>
      <c r="H58" s="14">
        <f>'Work items'!G19*'Work items'!I19</f>
        <v/>
      </c>
      <c r="I58" s="14">
        <f>'Work items'!N19</f>
        <v/>
      </c>
      <c r="J58" s="27" t="inlineStr">
        <is>
          <t>One of the two workloads runs in observe mode — MVP-04</t>
        </is>
      </c>
    </row>
    <row r="59">
      <c r="A59" s="25" t="inlineStr">
        <is>
          <t>WI-014</t>
        </is>
      </c>
      <c r="B59" s="26" t="inlineStr">
        <is>
          <t>M1</t>
        </is>
      </c>
      <c r="C59" s="26" t="inlineStr">
        <is>
          <t>Phase 1</t>
        </is>
      </c>
      <c r="D59" s="27" t="inlineStr">
        <is>
          <t>Validation</t>
        </is>
      </c>
      <c r="E59" s="26" t="inlineStr">
        <is>
          <t>S</t>
        </is>
      </c>
      <c r="F59" s="26" t="inlineStr">
        <is>
          <t>SEC</t>
        </is>
      </c>
      <c r="G59" s="23">
        <f>'Work items'!J19</f>
        <v/>
      </c>
      <c r="H59" s="14">
        <f>'Work items'!G19*'Work items'!J19</f>
        <v/>
      </c>
      <c r="I59" s="14">
        <f>'Work items'!O19</f>
        <v/>
      </c>
      <c r="J59" s="27" t="inlineStr">
        <is>
          <t>One of the two workloads runs in observe mode — MVP-04</t>
        </is>
      </c>
    </row>
    <row r="60">
      <c r="A60" s="25" t="inlineStr">
        <is>
          <t>WI-014</t>
        </is>
      </c>
      <c r="B60" s="26" t="inlineStr">
        <is>
          <t>M1</t>
        </is>
      </c>
      <c r="C60" s="26" t="inlineStr">
        <is>
          <t>Phase 1</t>
        </is>
      </c>
      <c r="D60" s="27" t="inlineStr">
        <is>
          <t>Validation</t>
        </is>
      </c>
      <c r="E60" s="26" t="inlineStr">
        <is>
          <t>S</t>
        </is>
      </c>
      <c r="F60" s="26" t="inlineStr">
        <is>
          <t>CONS</t>
        </is>
      </c>
      <c r="G60" s="23">
        <f>'Work items'!K19</f>
        <v/>
      </c>
      <c r="H60" s="14">
        <f>'Work items'!G19*'Work items'!K19</f>
        <v/>
      </c>
      <c r="I60" s="14">
        <f>'Work items'!P19</f>
        <v/>
      </c>
      <c r="J60" s="27" t="inlineStr">
        <is>
          <t>One of the two workloads runs in observe mode — MVP-04</t>
        </is>
      </c>
    </row>
    <row r="61">
      <c r="A61" s="4" t="inlineStr">
        <is>
          <t>WI-015</t>
        </is>
      </c>
      <c r="B61" s="21" t="inlineStr">
        <is>
          <t>M1</t>
        </is>
      </c>
      <c r="C61" s="21" t="inlineStr">
        <is>
          <t>Phase 1</t>
        </is>
      </c>
      <c r="D61" s="16" t="inlineStr">
        <is>
          <t>Validation</t>
        </is>
      </c>
      <c r="E61" s="21" t="inlineStr">
        <is>
          <t>S</t>
        </is>
      </c>
      <c r="F61" s="21" t="inlineStr">
        <is>
          <t>AIG</t>
        </is>
      </c>
      <c r="G61" s="23">
        <f>'Work items'!H20</f>
        <v/>
      </c>
      <c r="H61" s="14">
        <f>'Work items'!G20*'Work items'!H20</f>
        <v/>
      </c>
      <c r="I61" s="14">
        <f>'Work items'!M20</f>
        <v/>
      </c>
      <c r="J61" s="16" t="inlineStr">
        <is>
          <t>The other workload runs in enforce mode and a violation triggers the corresponding action on the request path — MVP-05</t>
        </is>
      </c>
    </row>
    <row r="62">
      <c r="A62" s="4" t="inlineStr">
        <is>
          <t>WI-015</t>
        </is>
      </c>
      <c r="B62" s="21" t="inlineStr">
        <is>
          <t>M1</t>
        </is>
      </c>
      <c r="C62" s="21" t="inlineStr">
        <is>
          <t>Phase 1</t>
        </is>
      </c>
      <c r="D62" s="16" t="inlineStr">
        <is>
          <t>Validation</t>
        </is>
      </c>
      <c r="E62" s="21" t="inlineStr">
        <is>
          <t>S</t>
        </is>
      </c>
      <c r="F62" s="21" t="inlineStr">
        <is>
          <t>OPS</t>
        </is>
      </c>
      <c r="G62" s="23">
        <f>'Work items'!I20</f>
        <v/>
      </c>
      <c r="H62" s="14">
        <f>'Work items'!G20*'Work items'!I20</f>
        <v/>
      </c>
      <c r="I62" s="14">
        <f>'Work items'!N20</f>
        <v/>
      </c>
      <c r="J62" s="16" t="inlineStr">
        <is>
          <t>The other workload runs in enforce mode and a violation triggers the corresponding action on the request path — MVP-05</t>
        </is>
      </c>
    </row>
    <row r="63">
      <c r="A63" s="4" t="inlineStr">
        <is>
          <t>WI-015</t>
        </is>
      </c>
      <c r="B63" s="21" t="inlineStr">
        <is>
          <t>M1</t>
        </is>
      </c>
      <c r="C63" s="21" t="inlineStr">
        <is>
          <t>Phase 1</t>
        </is>
      </c>
      <c r="D63" s="16" t="inlineStr">
        <is>
          <t>Validation</t>
        </is>
      </c>
      <c r="E63" s="21" t="inlineStr">
        <is>
          <t>S</t>
        </is>
      </c>
      <c r="F63" s="21" t="inlineStr">
        <is>
          <t>SEC</t>
        </is>
      </c>
      <c r="G63" s="23">
        <f>'Work items'!J20</f>
        <v/>
      </c>
      <c r="H63" s="14">
        <f>'Work items'!G20*'Work items'!J20</f>
        <v/>
      </c>
      <c r="I63" s="14">
        <f>'Work items'!O20</f>
        <v/>
      </c>
      <c r="J63" s="16" t="inlineStr">
        <is>
          <t>The other workload runs in enforce mode and a violation triggers the corresponding action on the request path — MVP-05</t>
        </is>
      </c>
    </row>
    <row r="64">
      <c r="A64" s="4" t="inlineStr">
        <is>
          <t>WI-015</t>
        </is>
      </c>
      <c r="B64" s="21" t="inlineStr">
        <is>
          <t>M1</t>
        </is>
      </c>
      <c r="C64" s="21" t="inlineStr">
        <is>
          <t>Phase 1</t>
        </is>
      </c>
      <c r="D64" s="16" t="inlineStr">
        <is>
          <t>Validation</t>
        </is>
      </c>
      <c r="E64" s="21" t="inlineStr">
        <is>
          <t>S</t>
        </is>
      </c>
      <c r="F64" s="21" t="inlineStr">
        <is>
          <t>CONS</t>
        </is>
      </c>
      <c r="G64" s="23">
        <f>'Work items'!K20</f>
        <v/>
      </c>
      <c r="H64" s="14">
        <f>'Work items'!G20*'Work items'!K20</f>
        <v/>
      </c>
      <c r="I64" s="14">
        <f>'Work items'!P20</f>
        <v/>
      </c>
      <c r="J64" s="16" t="inlineStr">
        <is>
          <t>The other workload runs in enforce mode and a violation triggers the corresponding action on the request path — MVP-05</t>
        </is>
      </c>
    </row>
    <row r="65">
      <c r="A65" s="25" t="inlineStr">
        <is>
          <t>WI-016</t>
        </is>
      </c>
      <c r="B65" s="26" t="inlineStr">
        <is>
          <t>M1</t>
        </is>
      </c>
      <c r="C65" s="26" t="inlineStr">
        <is>
          <t>Phase 1</t>
        </is>
      </c>
      <c r="D65" s="27" t="inlineStr">
        <is>
          <t>Validation</t>
        </is>
      </c>
      <c r="E65" s="26" t="inlineStr">
        <is>
          <t>M</t>
        </is>
      </c>
      <c r="F65" s="26" t="inlineStr">
        <is>
          <t>AIG</t>
        </is>
      </c>
      <c r="G65" s="23">
        <f>'Work items'!H21</f>
        <v/>
      </c>
      <c r="H65" s="14">
        <f>'Work items'!G21*'Work items'!H21</f>
        <v/>
      </c>
      <c r="I65" s="14">
        <f>'Work items'!M21</f>
        <v/>
      </c>
      <c r="J65" s="27" t="inlineStr">
        <is>
          <t>Raw prompt and response persistence can be disabled and is verified absent from storage, caches and logs, with decision metadata still persisted — MVP-07</t>
        </is>
      </c>
    </row>
    <row r="66">
      <c r="A66" s="25" t="inlineStr">
        <is>
          <t>WI-016</t>
        </is>
      </c>
      <c r="B66" s="26" t="inlineStr">
        <is>
          <t>M1</t>
        </is>
      </c>
      <c r="C66" s="26" t="inlineStr">
        <is>
          <t>Phase 1</t>
        </is>
      </c>
      <c r="D66" s="27" t="inlineStr">
        <is>
          <t>Validation</t>
        </is>
      </c>
      <c r="E66" s="26" t="inlineStr">
        <is>
          <t>M</t>
        </is>
      </c>
      <c r="F66" s="26" t="inlineStr">
        <is>
          <t>OPS</t>
        </is>
      </c>
      <c r="G66" s="23">
        <f>'Work items'!I21</f>
        <v/>
      </c>
      <c r="H66" s="14">
        <f>'Work items'!G21*'Work items'!I21</f>
        <v/>
      </c>
      <c r="I66" s="14">
        <f>'Work items'!N21</f>
        <v/>
      </c>
      <c r="J66" s="27" t="inlineStr">
        <is>
          <t>Raw prompt and response persistence can be disabled and is verified absent from storage, caches and logs, with decision metadata still persisted — MVP-07</t>
        </is>
      </c>
    </row>
    <row r="67">
      <c r="A67" s="25" t="inlineStr">
        <is>
          <t>WI-016</t>
        </is>
      </c>
      <c r="B67" s="26" t="inlineStr">
        <is>
          <t>M1</t>
        </is>
      </c>
      <c r="C67" s="26" t="inlineStr">
        <is>
          <t>Phase 1</t>
        </is>
      </c>
      <c r="D67" s="27" t="inlineStr">
        <is>
          <t>Validation</t>
        </is>
      </c>
      <c r="E67" s="26" t="inlineStr">
        <is>
          <t>M</t>
        </is>
      </c>
      <c r="F67" s="26" t="inlineStr">
        <is>
          <t>SEC</t>
        </is>
      </c>
      <c r="G67" s="23">
        <f>'Work items'!J21</f>
        <v/>
      </c>
      <c r="H67" s="14">
        <f>'Work items'!G21*'Work items'!J21</f>
        <v/>
      </c>
      <c r="I67" s="14">
        <f>'Work items'!O21</f>
        <v/>
      </c>
      <c r="J67" s="27" t="inlineStr">
        <is>
          <t>Raw prompt and response persistence can be disabled and is verified absent from storage, caches and logs, with decision metadata still persisted — MVP-07</t>
        </is>
      </c>
    </row>
    <row r="68">
      <c r="A68" s="25" t="inlineStr">
        <is>
          <t>WI-016</t>
        </is>
      </c>
      <c r="B68" s="26" t="inlineStr">
        <is>
          <t>M1</t>
        </is>
      </c>
      <c r="C68" s="26" t="inlineStr">
        <is>
          <t>Phase 1</t>
        </is>
      </c>
      <c r="D68" s="27" t="inlineStr">
        <is>
          <t>Validation</t>
        </is>
      </c>
      <c r="E68" s="26" t="inlineStr">
        <is>
          <t>M</t>
        </is>
      </c>
      <c r="F68" s="26" t="inlineStr">
        <is>
          <t>CONS</t>
        </is>
      </c>
      <c r="G68" s="23">
        <f>'Work items'!K21</f>
        <v/>
      </c>
      <c r="H68" s="14">
        <f>'Work items'!G21*'Work items'!K21</f>
        <v/>
      </c>
      <c r="I68" s="14">
        <f>'Work items'!P21</f>
        <v/>
      </c>
      <c r="J68" s="27" t="inlineStr">
        <is>
          <t>Raw prompt and response persistence can be disabled and is verified absent from storage, caches and logs, with decision metadata still persisted — MVP-07</t>
        </is>
      </c>
    </row>
    <row r="69">
      <c r="A69" s="4" t="inlineStr">
        <is>
          <t>WI-017</t>
        </is>
      </c>
      <c r="B69" s="21" t="inlineStr">
        <is>
          <t>M1</t>
        </is>
      </c>
      <c r="C69" s="21" t="inlineStr">
        <is>
          <t>Phase 1</t>
        </is>
      </c>
      <c r="D69" s="16" t="inlineStr">
        <is>
          <t>Validation</t>
        </is>
      </c>
      <c r="E69" s="21" t="inlineStr">
        <is>
          <t>M</t>
        </is>
      </c>
      <c r="F69" s="21" t="inlineStr">
        <is>
          <t>AIG</t>
        </is>
      </c>
      <c r="G69" s="23">
        <f>'Work items'!H22</f>
        <v/>
      </c>
      <c r="H69" s="14">
        <f>'Work items'!G22*'Work items'!H22</f>
        <v/>
      </c>
      <c r="I69" s="14">
        <f>'Work items'!M22</f>
        <v/>
      </c>
      <c r="J69" s="16" t="inlineStr">
        <is>
          <t>A forced detector or Evaluation API failure executes the configured failure behavior exactly as configured, captured in the audit record — MVP-08</t>
        </is>
      </c>
    </row>
    <row r="70">
      <c r="A70" s="4" t="inlineStr">
        <is>
          <t>WI-017</t>
        </is>
      </c>
      <c r="B70" s="21" t="inlineStr">
        <is>
          <t>M1</t>
        </is>
      </c>
      <c r="C70" s="21" t="inlineStr">
        <is>
          <t>Phase 1</t>
        </is>
      </c>
      <c r="D70" s="16" t="inlineStr">
        <is>
          <t>Validation</t>
        </is>
      </c>
      <c r="E70" s="21" t="inlineStr">
        <is>
          <t>M</t>
        </is>
      </c>
      <c r="F70" s="21" t="inlineStr">
        <is>
          <t>OPS</t>
        </is>
      </c>
      <c r="G70" s="23">
        <f>'Work items'!I22</f>
        <v/>
      </c>
      <c r="H70" s="14">
        <f>'Work items'!G22*'Work items'!I22</f>
        <v/>
      </c>
      <c r="I70" s="14">
        <f>'Work items'!N22</f>
        <v/>
      </c>
      <c r="J70" s="16" t="inlineStr">
        <is>
          <t>A forced detector or Evaluation API failure executes the configured failure behavior exactly as configured, captured in the audit record — MVP-08</t>
        </is>
      </c>
    </row>
    <row r="71">
      <c r="A71" s="4" t="inlineStr">
        <is>
          <t>WI-017</t>
        </is>
      </c>
      <c r="B71" s="21" t="inlineStr">
        <is>
          <t>M1</t>
        </is>
      </c>
      <c r="C71" s="21" t="inlineStr">
        <is>
          <t>Phase 1</t>
        </is>
      </c>
      <c r="D71" s="16" t="inlineStr">
        <is>
          <t>Validation</t>
        </is>
      </c>
      <c r="E71" s="21" t="inlineStr">
        <is>
          <t>M</t>
        </is>
      </c>
      <c r="F71" s="21" t="inlineStr">
        <is>
          <t>SEC</t>
        </is>
      </c>
      <c r="G71" s="23">
        <f>'Work items'!J22</f>
        <v/>
      </c>
      <c r="H71" s="14">
        <f>'Work items'!G22*'Work items'!J22</f>
        <v/>
      </c>
      <c r="I71" s="14">
        <f>'Work items'!O22</f>
        <v/>
      </c>
      <c r="J71" s="16" t="inlineStr">
        <is>
          <t>A forced detector or Evaluation API failure executes the configured failure behavior exactly as configured, captured in the audit record — MVP-08</t>
        </is>
      </c>
    </row>
    <row r="72">
      <c r="A72" s="4" t="inlineStr">
        <is>
          <t>WI-017</t>
        </is>
      </c>
      <c r="B72" s="21" t="inlineStr">
        <is>
          <t>M1</t>
        </is>
      </c>
      <c r="C72" s="21" t="inlineStr">
        <is>
          <t>Phase 1</t>
        </is>
      </c>
      <c r="D72" s="16" t="inlineStr">
        <is>
          <t>Validation</t>
        </is>
      </c>
      <c r="E72" s="21" t="inlineStr">
        <is>
          <t>M</t>
        </is>
      </c>
      <c r="F72" s="21" t="inlineStr">
        <is>
          <t>CONS</t>
        </is>
      </c>
      <c r="G72" s="23">
        <f>'Work items'!K22</f>
        <v/>
      </c>
      <c r="H72" s="14">
        <f>'Work items'!G22*'Work items'!K22</f>
        <v/>
      </c>
      <c r="I72" s="14">
        <f>'Work items'!P22</f>
        <v/>
      </c>
      <c r="J72" s="16" t="inlineStr">
        <is>
          <t>A forced detector or Evaluation API failure executes the configured failure behavior exactly as configured, captured in the audit record — MVP-08</t>
        </is>
      </c>
    </row>
    <row r="73">
      <c r="A73" s="25" t="inlineStr">
        <is>
          <t>WI-018</t>
        </is>
      </c>
      <c r="B73" s="26" t="inlineStr">
        <is>
          <t>M1</t>
        </is>
      </c>
      <c r="C73" s="26" t="inlineStr">
        <is>
          <t>Phase 1</t>
        </is>
      </c>
      <c r="D73" s="27" t="inlineStr">
        <is>
          <t>Packaging</t>
        </is>
      </c>
      <c r="E73" s="26" t="inlineStr">
        <is>
          <t>M</t>
        </is>
      </c>
      <c r="F73" s="26" t="inlineStr">
        <is>
          <t>AIG</t>
        </is>
      </c>
      <c r="G73" s="23">
        <f>'Work items'!H23</f>
        <v/>
      </c>
      <c r="H73" s="14">
        <f>'Work items'!G23*'Work items'!H23</f>
        <v/>
      </c>
      <c r="I73" s="14">
        <f>'Work items'!M23</f>
        <v/>
      </c>
      <c r="J73" s="27" t="inlineStr">
        <is>
          <t>Runtime validated as buildable and deployable as a standalone artifact suitable for a future customer-managed environment, connector contract unchanged — MVP-09 (architectural)</t>
        </is>
      </c>
    </row>
    <row r="74">
      <c r="A74" s="25" t="inlineStr">
        <is>
          <t>WI-018</t>
        </is>
      </c>
      <c r="B74" s="26" t="inlineStr">
        <is>
          <t>M1</t>
        </is>
      </c>
      <c r="C74" s="26" t="inlineStr">
        <is>
          <t>Phase 1</t>
        </is>
      </c>
      <c r="D74" s="27" t="inlineStr">
        <is>
          <t>Packaging</t>
        </is>
      </c>
      <c r="E74" s="26" t="inlineStr">
        <is>
          <t>M</t>
        </is>
      </c>
      <c r="F74" s="26" t="inlineStr">
        <is>
          <t>OPS</t>
        </is>
      </c>
      <c r="G74" s="23">
        <f>'Work items'!I23</f>
        <v/>
      </c>
      <c r="H74" s="14">
        <f>'Work items'!G23*'Work items'!I23</f>
        <v/>
      </c>
      <c r="I74" s="14">
        <f>'Work items'!N23</f>
        <v/>
      </c>
      <c r="J74" s="27" t="inlineStr">
        <is>
          <t>Runtime validated as buildable and deployable as a standalone artifact suitable for a future customer-managed environment, connector contract unchanged — MVP-09 (architectural)</t>
        </is>
      </c>
    </row>
    <row r="75">
      <c r="A75" s="25" t="inlineStr">
        <is>
          <t>WI-018</t>
        </is>
      </c>
      <c r="B75" s="26" t="inlineStr">
        <is>
          <t>M1</t>
        </is>
      </c>
      <c r="C75" s="26" t="inlineStr">
        <is>
          <t>Phase 1</t>
        </is>
      </c>
      <c r="D75" s="27" t="inlineStr">
        <is>
          <t>Packaging</t>
        </is>
      </c>
      <c r="E75" s="26" t="inlineStr">
        <is>
          <t>M</t>
        </is>
      </c>
      <c r="F75" s="26" t="inlineStr">
        <is>
          <t>SEC</t>
        </is>
      </c>
      <c r="G75" s="23">
        <f>'Work items'!J23</f>
        <v/>
      </c>
      <c r="H75" s="14">
        <f>'Work items'!G23*'Work items'!J23</f>
        <v/>
      </c>
      <c r="I75" s="14">
        <f>'Work items'!O23</f>
        <v/>
      </c>
      <c r="J75" s="27" t="inlineStr">
        <is>
          <t>Runtime validated as buildable and deployable as a standalone artifact suitable for a future customer-managed environment, connector contract unchanged — MVP-09 (architectural)</t>
        </is>
      </c>
    </row>
    <row r="76">
      <c r="A76" s="25" t="inlineStr">
        <is>
          <t>WI-018</t>
        </is>
      </c>
      <c r="B76" s="26" t="inlineStr">
        <is>
          <t>M1</t>
        </is>
      </c>
      <c r="C76" s="26" t="inlineStr">
        <is>
          <t>Phase 1</t>
        </is>
      </c>
      <c r="D76" s="27" t="inlineStr">
        <is>
          <t>Packaging</t>
        </is>
      </c>
      <c r="E76" s="26" t="inlineStr">
        <is>
          <t>M</t>
        </is>
      </c>
      <c r="F76" s="26" t="inlineStr">
        <is>
          <t>CONS</t>
        </is>
      </c>
      <c r="G76" s="23">
        <f>'Work items'!K23</f>
        <v/>
      </c>
      <c r="H76" s="14">
        <f>'Work items'!G23*'Work items'!K23</f>
        <v/>
      </c>
      <c r="I76" s="14">
        <f>'Work items'!P23</f>
        <v/>
      </c>
      <c r="J76" s="27" t="inlineStr">
        <is>
          <t>Runtime validated as buildable and deployable as a standalone artifact suitable for a future customer-managed environment, connector contract unchanged — MVP-09 (architectural)</t>
        </is>
      </c>
    </row>
    <row r="77">
      <c r="A77" s="4" t="inlineStr">
        <is>
          <t>WI-019</t>
        </is>
      </c>
      <c r="B77" s="21" t="inlineStr">
        <is>
          <t>M2</t>
        </is>
      </c>
      <c r="C77" s="21" t="inlineStr">
        <is>
          <t>Phase 2</t>
        </is>
      </c>
      <c r="D77" s="16" t="inlineStr">
        <is>
          <t>Control plane</t>
        </is>
      </c>
      <c r="E77" s="21" t="inlineStr">
        <is>
          <t>L</t>
        </is>
      </c>
      <c r="F77" s="21" t="inlineStr">
        <is>
          <t>AIG</t>
        </is>
      </c>
      <c r="G77" s="23">
        <f>'Work items'!H24</f>
        <v/>
      </c>
      <c r="H77" s="14">
        <f>'Work items'!G24*'Work items'!H24</f>
        <v/>
      </c>
      <c r="I77" s="14">
        <f>'Work items'!M24</f>
        <v/>
      </c>
      <c r="J77" s="16" t="inlineStr">
        <is>
          <t>Tenant and workload registry exposing both domain entities as first-class, queryable records</t>
        </is>
      </c>
    </row>
    <row r="78">
      <c r="A78" s="4" t="inlineStr">
        <is>
          <t>WI-019</t>
        </is>
      </c>
      <c r="B78" s="21" t="inlineStr">
        <is>
          <t>M2</t>
        </is>
      </c>
      <c r="C78" s="21" t="inlineStr">
        <is>
          <t>Phase 2</t>
        </is>
      </c>
      <c r="D78" s="16" t="inlineStr">
        <is>
          <t>Control plane</t>
        </is>
      </c>
      <c r="E78" s="21" t="inlineStr">
        <is>
          <t>L</t>
        </is>
      </c>
      <c r="F78" s="21" t="inlineStr">
        <is>
          <t>OPS</t>
        </is>
      </c>
      <c r="G78" s="23">
        <f>'Work items'!I24</f>
        <v/>
      </c>
      <c r="H78" s="14">
        <f>'Work items'!G24*'Work items'!I24</f>
        <v/>
      </c>
      <c r="I78" s="14">
        <f>'Work items'!N24</f>
        <v/>
      </c>
      <c r="J78" s="16" t="inlineStr">
        <is>
          <t>Tenant and workload registry exposing both domain entities as first-class, queryable records</t>
        </is>
      </c>
    </row>
    <row r="79">
      <c r="A79" s="4" t="inlineStr">
        <is>
          <t>WI-019</t>
        </is>
      </c>
      <c r="B79" s="21" t="inlineStr">
        <is>
          <t>M2</t>
        </is>
      </c>
      <c r="C79" s="21" t="inlineStr">
        <is>
          <t>Phase 2</t>
        </is>
      </c>
      <c r="D79" s="16" t="inlineStr">
        <is>
          <t>Control plane</t>
        </is>
      </c>
      <c r="E79" s="21" t="inlineStr">
        <is>
          <t>L</t>
        </is>
      </c>
      <c r="F79" s="21" t="inlineStr">
        <is>
          <t>SEC</t>
        </is>
      </c>
      <c r="G79" s="23">
        <f>'Work items'!J24</f>
        <v/>
      </c>
      <c r="H79" s="14">
        <f>'Work items'!G24*'Work items'!J24</f>
        <v/>
      </c>
      <c r="I79" s="14">
        <f>'Work items'!O24</f>
        <v/>
      </c>
      <c r="J79" s="16" t="inlineStr">
        <is>
          <t>Tenant and workload registry exposing both domain entities as first-class, queryable records</t>
        </is>
      </c>
    </row>
    <row r="80">
      <c r="A80" s="4" t="inlineStr">
        <is>
          <t>WI-019</t>
        </is>
      </c>
      <c r="B80" s="21" t="inlineStr">
        <is>
          <t>M2</t>
        </is>
      </c>
      <c r="C80" s="21" t="inlineStr">
        <is>
          <t>Phase 2</t>
        </is>
      </c>
      <c r="D80" s="16" t="inlineStr">
        <is>
          <t>Control plane</t>
        </is>
      </c>
      <c r="E80" s="21" t="inlineStr">
        <is>
          <t>L</t>
        </is>
      </c>
      <c r="F80" s="21" t="inlineStr">
        <is>
          <t>CONS</t>
        </is>
      </c>
      <c r="G80" s="23">
        <f>'Work items'!K24</f>
        <v/>
      </c>
      <c r="H80" s="14">
        <f>'Work items'!G24*'Work items'!K24</f>
        <v/>
      </c>
      <c r="I80" s="14">
        <f>'Work items'!P24</f>
        <v/>
      </c>
      <c r="J80" s="16" t="inlineStr">
        <is>
          <t>Tenant and workload registry exposing both domain entities as first-class, queryable records</t>
        </is>
      </c>
    </row>
    <row r="81">
      <c r="A81" s="25" t="inlineStr">
        <is>
          <t>WI-020</t>
        </is>
      </c>
      <c r="B81" s="26" t="inlineStr">
        <is>
          <t>M2</t>
        </is>
      </c>
      <c r="C81" s="26" t="inlineStr">
        <is>
          <t>Phase 2</t>
        </is>
      </c>
      <c r="D81" s="27" t="inlineStr">
        <is>
          <t>Control plane</t>
        </is>
      </c>
      <c r="E81" s="26" t="inlineStr">
        <is>
          <t>L</t>
        </is>
      </c>
      <c r="F81" s="26" t="inlineStr">
        <is>
          <t>AIG</t>
        </is>
      </c>
      <c r="G81" s="23">
        <f>'Work items'!H25</f>
        <v/>
      </c>
      <c r="H81" s="14">
        <f>'Work items'!G25*'Work items'!H25</f>
        <v/>
      </c>
      <c r="I81" s="14">
        <f>'Work items'!M25</f>
        <v/>
      </c>
      <c r="J81" s="27" t="inlineStr">
        <is>
          <t>Policy bindings associating a workload with a specific policy version and an explicit enforcement-mode selection</t>
        </is>
      </c>
    </row>
    <row r="82">
      <c r="A82" s="25" t="inlineStr">
        <is>
          <t>WI-020</t>
        </is>
      </c>
      <c r="B82" s="26" t="inlineStr">
        <is>
          <t>M2</t>
        </is>
      </c>
      <c r="C82" s="26" t="inlineStr">
        <is>
          <t>Phase 2</t>
        </is>
      </c>
      <c r="D82" s="27" t="inlineStr">
        <is>
          <t>Control plane</t>
        </is>
      </c>
      <c r="E82" s="26" t="inlineStr">
        <is>
          <t>L</t>
        </is>
      </c>
      <c r="F82" s="26" t="inlineStr">
        <is>
          <t>OPS</t>
        </is>
      </c>
      <c r="G82" s="23">
        <f>'Work items'!I25</f>
        <v/>
      </c>
      <c r="H82" s="14">
        <f>'Work items'!G25*'Work items'!I25</f>
        <v/>
      </c>
      <c r="I82" s="14">
        <f>'Work items'!N25</f>
        <v/>
      </c>
      <c r="J82" s="27" t="inlineStr">
        <is>
          <t>Policy bindings associating a workload with a specific policy version and an explicit enforcement-mode selection</t>
        </is>
      </c>
    </row>
    <row r="83">
      <c r="A83" s="25" t="inlineStr">
        <is>
          <t>WI-020</t>
        </is>
      </c>
      <c r="B83" s="26" t="inlineStr">
        <is>
          <t>M2</t>
        </is>
      </c>
      <c r="C83" s="26" t="inlineStr">
        <is>
          <t>Phase 2</t>
        </is>
      </c>
      <c r="D83" s="27" t="inlineStr">
        <is>
          <t>Control plane</t>
        </is>
      </c>
      <c r="E83" s="26" t="inlineStr">
        <is>
          <t>L</t>
        </is>
      </c>
      <c r="F83" s="26" t="inlineStr">
        <is>
          <t>SEC</t>
        </is>
      </c>
      <c r="G83" s="23">
        <f>'Work items'!J25</f>
        <v/>
      </c>
      <c r="H83" s="14">
        <f>'Work items'!G25*'Work items'!J25</f>
        <v/>
      </c>
      <c r="I83" s="14">
        <f>'Work items'!O25</f>
        <v/>
      </c>
      <c r="J83" s="27" t="inlineStr">
        <is>
          <t>Policy bindings associating a workload with a specific policy version and an explicit enforcement-mode selection</t>
        </is>
      </c>
    </row>
    <row r="84">
      <c r="A84" s="25" t="inlineStr">
        <is>
          <t>WI-020</t>
        </is>
      </c>
      <c r="B84" s="26" t="inlineStr">
        <is>
          <t>M2</t>
        </is>
      </c>
      <c r="C84" s="26" t="inlineStr">
        <is>
          <t>Phase 2</t>
        </is>
      </c>
      <c r="D84" s="27" t="inlineStr">
        <is>
          <t>Control plane</t>
        </is>
      </c>
      <c r="E84" s="26" t="inlineStr">
        <is>
          <t>L</t>
        </is>
      </c>
      <c r="F84" s="26" t="inlineStr">
        <is>
          <t>CONS</t>
        </is>
      </c>
      <c r="G84" s="23">
        <f>'Work items'!K25</f>
        <v/>
      </c>
      <c r="H84" s="14">
        <f>'Work items'!G25*'Work items'!K25</f>
        <v/>
      </c>
      <c r="I84" s="14">
        <f>'Work items'!P25</f>
        <v/>
      </c>
      <c r="J84" s="27" t="inlineStr">
        <is>
          <t>Policy bindings associating a workload with a specific policy version and an explicit enforcement-mode selection</t>
        </is>
      </c>
    </row>
    <row r="85">
      <c r="A85" s="4" t="inlineStr">
        <is>
          <t>WI-021</t>
        </is>
      </c>
      <c r="B85" s="21" t="inlineStr">
        <is>
          <t>M2</t>
        </is>
      </c>
      <c r="C85" s="21" t="inlineStr">
        <is>
          <t>Phase 2</t>
        </is>
      </c>
      <c r="D85" s="16" t="inlineStr">
        <is>
          <t>Security</t>
        </is>
      </c>
      <c r="E85" s="21" t="inlineStr">
        <is>
          <t>M</t>
        </is>
      </c>
      <c r="F85" s="21" t="inlineStr">
        <is>
          <t>AIG</t>
        </is>
      </c>
      <c r="G85" s="23">
        <f>'Work items'!H26</f>
        <v/>
      </c>
      <c r="H85" s="14">
        <f>'Work items'!G26*'Work items'!H26</f>
        <v/>
      </c>
      <c r="I85" s="14">
        <f>'Work items'!M26</f>
        <v/>
      </c>
      <c r="J85" s="16" t="inlineStr">
        <is>
          <t>IAM-based authentication for platform consumers using least-privilege, short-lived credentials</t>
        </is>
      </c>
    </row>
    <row r="86">
      <c r="A86" s="4" t="inlineStr">
        <is>
          <t>WI-021</t>
        </is>
      </c>
      <c r="B86" s="21" t="inlineStr">
        <is>
          <t>M2</t>
        </is>
      </c>
      <c r="C86" s="21" t="inlineStr">
        <is>
          <t>Phase 2</t>
        </is>
      </c>
      <c r="D86" s="16" t="inlineStr">
        <is>
          <t>Security</t>
        </is>
      </c>
      <c r="E86" s="21" t="inlineStr">
        <is>
          <t>M</t>
        </is>
      </c>
      <c r="F86" s="21" t="inlineStr">
        <is>
          <t>OPS</t>
        </is>
      </c>
      <c r="G86" s="23">
        <f>'Work items'!I26</f>
        <v/>
      </c>
      <c r="H86" s="14">
        <f>'Work items'!G26*'Work items'!I26</f>
        <v/>
      </c>
      <c r="I86" s="14">
        <f>'Work items'!N26</f>
        <v/>
      </c>
      <c r="J86" s="16" t="inlineStr">
        <is>
          <t>IAM-based authentication for platform consumers using least-privilege, short-lived credentials</t>
        </is>
      </c>
    </row>
    <row r="87">
      <c r="A87" s="4" t="inlineStr">
        <is>
          <t>WI-021</t>
        </is>
      </c>
      <c r="B87" s="21" t="inlineStr">
        <is>
          <t>M2</t>
        </is>
      </c>
      <c r="C87" s="21" t="inlineStr">
        <is>
          <t>Phase 2</t>
        </is>
      </c>
      <c r="D87" s="16" t="inlineStr">
        <is>
          <t>Security</t>
        </is>
      </c>
      <c r="E87" s="21" t="inlineStr">
        <is>
          <t>M</t>
        </is>
      </c>
      <c r="F87" s="21" t="inlineStr">
        <is>
          <t>SEC</t>
        </is>
      </c>
      <c r="G87" s="23">
        <f>'Work items'!J26</f>
        <v/>
      </c>
      <c r="H87" s="14">
        <f>'Work items'!G26*'Work items'!J26</f>
        <v/>
      </c>
      <c r="I87" s="14">
        <f>'Work items'!O26</f>
        <v/>
      </c>
      <c r="J87" s="16" t="inlineStr">
        <is>
          <t>IAM-based authentication for platform consumers using least-privilege, short-lived credentials</t>
        </is>
      </c>
    </row>
    <row r="88">
      <c r="A88" s="4" t="inlineStr">
        <is>
          <t>WI-021</t>
        </is>
      </c>
      <c r="B88" s="21" t="inlineStr">
        <is>
          <t>M2</t>
        </is>
      </c>
      <c r="C88" s="21" t="inlineStr">
        <is>
          <t>Phase 2</t>
        </is>
      </c>
      <c r="D88" s="16" t="inlineStr">
        <is>
          <t>Security</t>
        </is>
      </c>
      <c r="E88" s="21" t="inlineStr">
        <is>
          <t>M</t>
        </is>
      </c>
      <c r="F88" s="21" t="inlineStr">
        <is>
          <t>CONS</t>
        </is>
      </c>
      <c r="G88" s="23">
        <f>'Work items'!K26</f>
        <v/>
      </c>
      <c r="H88" s="14">
        <f>'Work items'!G26*'Work items'!K26</f>
        <v/>
      </c>
      <c r="I88" s="14">
        <f>'Work items'!P26</f>
        <v/>
      </c>
      <c r="J88" s="16" t="inlineStr">
        <is>
          <t>IAM-based authentication for platform consumers using least-privilege, short-lived credentials</t>
        </is>
      </c>
    </row>
    <row r="89">
      <c r="A89" s="25" t="inlineStr">
        <is>
          <t>WI-022</t>
        </is>
      </c>
      <c r="B89" s="26" t="inlineStr">
        <is>
          <t>M2</t>
        </is>
      </c>
      <c r="C89" s="26" t="inlineStr">
        <is>
          <t>Phase 2</t>
        </is>
      </c>
      <c r="D89" s="27" t="inlineStr">
        <is>
          <t>Security</t>
        </is>
      </c>
      <c r="E89" s="26" t="inlineStr">
        <is>
          <t>M</t>
        </is>
      </c>
      <c r="F89" s="26" t="inlineStr">
        <is>
          <t>AIG</t>
        </is>
      </c>
      <c r="G89" s="23">
        <f>'Work items'!H27</f>
        <v/>
      </c>
      <c r="H89" s="14">
        <f>'Work items'!G27*'Work items'!H27</f>
        <v/>
      </c>
      <c r="I89" s="14">
        <f>'Work items'!M27</f>
        <v/>
      </c>
      <c r="J89" s="27" t="inlineStr">
        <is>
          <t>Per-tenant workload identities issued and enforced; none shared across tenants</t>
        </is>
      </c>
    </row>
    <row r="90">
      <c r="A90" s="25" t="inlineStr">
        <is>
          <t>WI-022</t>
        </is>
      </c>
      <c r="B90" s="26" t="inlineStr">
        <is>
          <t>M2</t>
        </is>
      </c>
      <c r="C90" s="26" t="inlineStr">
        <is>
          <t>Phase 2</t>
        </is>
      </c>
      <c r="D90" s="27" t="inlineStr">
        <is>
          <t>Security</t>
        </is>
      </c>
      <c r="E90" s="26" t="inlineStr">
        <is>
          <t>M</t>
        </is>
      </c>
      <c r="F90" s="26" t="inlineStr">
        <is>
          <t>OPS</t>
        </is>
      </c>
      <c r="G90" s="23">
        <f>'Work items'!I27</f>
        <v/>
      </c>
      <c r="H90" s="14">
        <f>'Work items'!G27*'Work items'!I27</f>
        <v/>
      </c>
      <c r="I90" s="14">
        <f>'Work items'!N27</f>
        <v/>
      </c>
      <c r="J90" s="27" t="inlineStr">
        <is>
          <t>Per-tenant workload identities issued and enforced; none shared across tenants</t>
        </is>
      </c>
    </row>
    <row r="91">
      <c r="A91" s="25" t="inlineStr">
        <is>
          <t>WI-022</t>
        </is>
      </c>
      <c r="B91" s="26" t="inlineStr">
        <is>
          <t>M2</t>
        </is>
      </c>
      <c r="C91" s="26" t="inlineStr">
        <is>
          <t>Phase 2</t>
        </is>
      </c>
      <c r="D91" s="27" t="inlineStr">
        <is>
          <t>Security</t>
        </is>
      </c>
      <c r="E91" s="26" t="inlineStr">
        <is>
          <t>M</t>
        </is>
      </c>
      <c r="F91" s="26" t="inlineStr">
        <is>
          <t>SEC</t>
        </is>
      </c>
      <c r="G91" s="23">
        <f>'Work items'!J27</f>
        <v/>
      </c>
      <c r="H91" s="14">
        <f>'Work items'!G27*'Work items'!J27</f>
        <v/>
      </c>
      <c r="I91" s="14">
        <f>'Work items'!O27</f>
        <v/>
      </c>
      <c r="J91" s="27" t="inlineStr">
        <is>
          <t>Per-tenant workload identities issued and enforced; none shared across tenants</t>
        </is>
      </c>
    </row>
    <row r="92">
      <c r="A92" s="25" t="inlineStr">
        <is>
          <t>WI-022</t>
        </is>
      </c>
      <c r="B92" s="26" t="inlineStr">
        <is>
          <t>M2</t>
        </is>
      </c>
      <c r="C92" s="26" t="inlineStr">
        <is>
          <t>Phase 2</t>
        </is>
      </c>
      <c r="D92" s="27" t="inlineStr">
        <is>
          <t>Security</t>
        </is>
      </c>
      <c r="E92" s="26" t="inlineStr">
        <is>
          <t>M</t>
        </is>
      </c>
      <c r="F92" s="26" t="inlineStr">
        <is>
          <t>CONS</t>
        </is>
      </c>
      <c r="G92" s="23">
        <f>'Work items'!K27</f>
        <v/>
      </c>
      <c r="H92" s="14">
        <f>'Work items'!G27*'Work items'!K27</f>
        <v/>
      </c>
      <c r="I92" s="14">
        <f>'Work items'!P27</f>
        <v/>
      </c>
      <c r="J92" s="27" t="inlineStr">
        <is>
          <t>Per-tenant workload identities issued and enforced; none shared across tenants</t>
        </is>
      </c>
    </row>
    <row r="93">
      <c r="A93" s="4" t="inlineStr">
        <is>
          <t>WI-023</t>
        </is>
      </c>
      <c r="B93" s="21" t="inlineStr">
        <is>
          <t>M2</t>
        </is>
      </c>
      <c r="C93" s="21" t="inlineStr">
        <is>
          <t>Phase 2</t>
        </is>
      </c>
      <c r="D93" s="16" t="inlineStr">
        <is>
          <t>Control plane</t>
        </is>
      </c>
      <c r="E93" s="21" t="inlineStr">
        <is>
          <t>M</t>
        </is>
      </c>
      <c r="F93" s="21" t="inlineStr">
        <is>
          <t>AIG</t>
        </is>
      </c>
      <c r="G93" s="23">
        <f>'Work items'!H28</f>
        <v/>
      </c>
      <c r="H93" s="14">
        <f>'Work items'!G28*'Work items'!H28</f>
        <v/>
      </c>
      <c r="I93" s="14">
        <f>'Work items'!M28</f>
        <v/>
      </c>
      <c r="J93" s="16" t="inlineStr">
        <is>
          <t>Quotas implemented and enforced per tenant and per workload</t>
        </is>
      </c>
    </row>
    <row r="94">
      <c r="A94" s="4" t="inlineStr">
        <is>
          <t>WI-023</t>
        </is>
      </c>
      <c r="B94" s="21" t="inlineStr">
        <is>
          <t>M2</t>
        </is>
      </c>
      <c r="C94" s="21" t="inlineStr">
        <is>
          <t>Phase 2</t>
        </is>
      </c>
      <c r="D94" s="16" t="inlineStr">
        <is>
          <t>Control plane</t>
        </is>
      </c>
      <c r="E94" s="21" t="inlineStr">
        <is>
          <t>M</t>
        </is>
      </c>
      <c r="F94" s="21" t="inlineStr">
        <is>
          <t>OPS</t>
        </is>
      </c>
      <c r="G94" s="23">
        <f>'Work items'!I28</f>
        <v/>
      </c>
      <c r="H94" s="14">
        <f>'Work items'!G28*'Work items'!I28</f>
        <v/>
      </c>
      <c r="I94" s="14">
        <f>'Work items'!N28</f>
        <v/>
      </c>
      <c r="J94" s="16" t="inlineStr">
        <is>
          <t>Quotas implemented and enforced per tenant and per workload</t>
        </is>
      </c>
    </row>
    <row r="95">
      <c r="A95" s="4" t="inlineStr">
        <is>
          <t>WI-023</t>
        </is>
      </c>
      <c r="B95" s="21" t="inlineStr">
        <is>
          <t>M2</t>
        </is>
      </c>
      <c r="C95" s="21" t="inlineStr">
        <is>
          <t>Phase 2</t>
        </is>
      </c>
      <c r="D95" s="16" t="inlineStr">
        <is>
          <t>Control plane</t>
        </is>
      </c>
      <c r="E95" s="21" t="inlineStr">
        <is>
          <t>M</t>
        </is>
      </c>
      <c r="F95" s="21" t="inlineStr">
        <is>
          <t>SEC</t>
        </is>
      </c>
      <c r="G95" s="23">
        <f>'Work items'!J28</f>
        <v/>
      </c>
      <c r="H95" s="14">
        <f>'Work items'!G28*'Work items'!J28</f>
        <v/>
      </c>
      <c r="I95" s="14">
        <f>'Work items'!O28</f>
        <v/>
      </c>
      <c r="J95" s="16" t="inlineStr">
        <is>
          <t>Quotas implemented and enforced per tenant and per workload</t>
        </is>
      </c>
    </row>
    <row r="96">
      <c r="A96" s="4" t="inlineStr">
        <is>
          <t>WI-023</t>
        </is>
      </c>
      <c r="B96" s="21" t="inlineStr">
        <is>
          <t>M2</t>
        </is>
      </c>
      <c r="C96" s="21" t="inlineStr">
        <is>
          <t>Phase 2</t>
        </is>
      </c>
      <c r="D96" s="16" t="inlineStr">
        <is>
          <t>Control plane</t>
        </is>
      </c>
      <c r="E96" s="21" t="inlineStr">
        <is>
          <t>M</t>
        </is>
      </c>
      <c r="F96" s="21" t="inlineStr">
        <is>
          <t>CONS</t>
        </is>
      </c>
      <c r="G96" s="23">
        <f>'Work items'!K28</f>
        <v/>
      </c>
      <c r="H96" s="14">
        <f>'Work items'!G28*'Work items'!K28</f>
        <v/>
      </c>
      <c r="I96" s="14">
        <f>'Work items'!P28</f>
        <v/>
      </c>
      <c r="J96" s="16" t="inlineStr">
        <is>
          <t>Quotas implemented and enforced per tenant and per workload</t>
        </is>
      </c>
    </row>
    <row r="97">
      <c r="A97" s="25" t="inlineStr">
        <is>
          <t>WI-024</t>
        </is>
      </c>
      <c r="B97" s="26" t="inlineStr">
        <is>
          <t>M2</t>
        </is>
      </c>
      <c r="C97" s="26" t="inlineStr">
        <is>
          <t>Phase 2</t>
        </is>
      </c>
      <c r="D97" s="27" t="inlineStr">
        <is>
          <t>Control plane</t>
        </is>
      </c>
      <c r="E97" s="26" t="inlineStr">
        <is>
          <t>L</t>
        </is>
      </c>
      <c r="F97" s="26" t="inlineStr">
        <is>
          <t>AIG</t>
        </is>
      </c>
      <c r="G97" s="23">
        <f>'Work items'!H29</f>
        <v/>
      </c>
      <c r="H97" s="14">
        <f>'Work items'!G29*'Work items'!H29</f>
        <v/>
      </c>
      <c r="I97" s="14">
        <f>'Work items'!M29</f>
        <v/>
      </c>
      <c r="J97" s="27" t="inlineStr">
        <is>
          <t>Policy promotion: a new immutable version published and bound through a controlled, auditable step</t>
        </is>
      </c>
    </row>
    <row r="98">
      <c r="A98" s="25" t="inlineStr">
        <is>
          <t>WI-024</t>
        </is>
      </c>
      <c r="B98" s="26" t="inlineStr">
        <is>
          <t>M2</t>
        </is>
      </c>
      <c r="C98" s="26" t="inlineStr">
        <is>
          <t>Phase 2</t>
        </is>
      </c>
      <c r="D98" s="27" t="inlineStr">
        <is>
          <t>Control plane</t>
        </is>
      </c>
      <c r="E98" s="26" t="inlineStr">
        <is>
          <t>L</t>
        </is>
      </c>
      <c r="F98" s="26" t="inlineStr">
        <is>
          <t>OPS</t>
        </is>
      </c>
      <c r="G98" s="23">
        <f>'Work items'!I29</f>
        <v/>
      </c>
      <c r="H98" s="14">
        <f>'Work items'!G29*'Work items'!I29</f>
        <v/>
      </c>
      <c r="I98" s="14">
        <f>'Work items'!N29</f>
        <v/>
      </c>
      <c r="J98" s="27" t="inlineStr">
        <is>
          <t>Policy promotion: a new immutable version published and bound through a controlled, auditable step</t>
        </is>
      </c>
    </row>
    <row r="99">
      <c r="A99" s="25" t="inlineStr">
        <is>
          <t>WI-024</t>
        </is>
      </c>
      <c r="B99" s="26" t="inlineStr">
        <is>
          <t>M2</t>
        </is>
      </c>
      <c r="C99" s="26" t="inlineStr">
        <is>
          <t>Phase 2</t>
        </is>
      </c>
      <c r="D99" s="27" t="inlineStr">
        <is>
          <t>Control plane</t>
        </is>
      </c>
      <c r="E99" s="26" t="inlineStr">
        <is>
          <t>L</t>
        </is>
      </c>
      <c r="F99" s="26" t="inlineStr">
        <is>
          <t>SEC</t>
        </is>
      </c>
      <c r="G99" s="23">
        <f>'Work items'!J29</f>
        <v/>
      </c>
      <c r="H99" s="14">
        <f>'Work items'!G29*'Work items'!J29</f>
        <v/>
      </c>
      <c r="I99" s="14">
        <f>'Work items'!O29</f>
        <v/>
      </c>
      <c r="J99" s="27" t="inlineStr">
        <is>
          <t>Policy promotion: a new immutable version published and bound through a controlled, auditable step</t>
        </is>
      </c>
    </row>
    <row r="100">
      <c r="A100" s="25" t="inlineStr">
        <is>
          <t>WI-024</t>
        </is>
      </c>
      <c r="B100" s="26" t="inlineStr">
        <is>
          <t>M2</t>
        </is>
      </c>
      <c r="C100" s="26" t="inlineStr">
        <is>
          <t>Phase 2</t>
        </is>
      </c>
      <c r="D100" s="27" t="inlineStr">
        <is>
          <t>Control plane</t>
        </is>
      </c>
      <c r="E100" s="26" t="inlineStr">
        <is>
          <t>L</t>
        </is>
      </c>
      <c r="F100" s="26" t="inlineStr">
        <is>
          <t>CONS</t>
        </is>
      </c>
      <c r="G100" s="23">
        <f>'Work items'!K29</f>
        <v/>
      </c>
      <c r="H100" s="14">
        <f>'Work items'!G29*'Work items'!K29</f>
        <v/>
      </c>
      <c r="I100" s="14">
        <f>'Work items'!P29</f>
        <v/>
      </c>
      <c r="J100" s="27" t="inlineStr">
        <is>
          <t>Policy promotion: a new immutable version published and bound through a controlled, auditable step</t>
        </is>
      </c>
    </row>
    <row r="101">
      <c r="A101" s="4" t="inlineStr">
        <is>
          <t>WI-025</t>
        </is>
      </c>
      <c r="B101" s="21" t="inlineStr">
        <is>
          <t>M2</t>
        </is>
      </c>
      <c r="C101" s="21" t="inlineStr">
        <is>
          <t>Phase 2</t>
        </is>
      </c>
      <c r="D101" s="16" t="inlineStr">
        <is>
          <t>Control plane</t>
        </is>
      </c>
      <c r="E101" s="21" t="inlineStr">
        <is>
          <t>M</t>
        </is>
      </c>
      <c r="F101" s="21" t="inlineStr">
        <is>
          <t>AIG</t>
        </is>
      </c>
      <c r="G101" s="23">
        <f>'Work items'!H30</f>
        <v/>
      </c>
      <c r="H101" s="14">
        <f>'Work items'!G30*'Work items'!H30</f>
        <v/>
      </c>
      <c r="I101" s="14">
        <f>'Work items'!M30</f>
        <v/>
      </c>
      <c r="J101" s="16" t="inlineStr">
        <is>
          <t>Policy rollback: a binding reverted to a prior immutable version with prior behavior restored, both transitions in audit metadata</t>
        </is>
      </c>
    </row>
    <row r="102">
      <c r="A102" s="4" t="inlineStr">
        <is>
          <t>WI-025</t>
        </is>
      </c>
      <c r="B102" s="21" t="inlineStr">
        <is>
          <t>M2</t>
        </is>
      </c>
      <c r="C102" s="21" t="inlineStr">
        <is>
          <t>Phase 2</t>
        </is>
      </c>
      <c r="D102" s="16" t="inlineStr">
        <is>
          <t>Control plane</t>
        </is>
      </c>
      <c r="E102" s="21" t="inlineStr">
        <is>
          <t>M</t>
        </is>
      </c>
      <c r="F102" s="21" t="inlineStr">
        <is>
          <t>OPS</t>
        </is>
      </c>
      <c r="G102" s="23">
        <f>'Work items'!I30</f>
        <v/>
      </c>
      <c r="H102" s="14">
        <f>'Work items'!G30*'Work items'!I30</f>
        <v/>
      </c>
      <c r="I102" s="14">
        <f>'Work items'!N30</f>
        <v/>
      </c>
      <c r="J102" s="16" t="inlineStr">
        <is>
          <t>Policy rollback: a binding reverted to a prior immutable version with prior behavior restored, both transitions in audit metadata</t>
        </is>
      </c>
    </row>
    <row r="103">
      <c r="A103" s="4" t="inlineStr">
        <is>
          <t>WI-025</t>
        </is>
      </c>
      <c r="B103" s="21" t="inlineStr">
        <is>
          <t>M2</t>
        </is>
      </c>
      <c r="C103" s="21" t="inlineStr">
        <is>
          <t>Phase 2</t>
        </is>
      </c>
      <c r="D103" s="16" t="inlineStr">
        <is>
          <t>Control plane</t>
        </is>
      </c>
      <c r="E103" s="21" t="inlineStr">
        <is>
          <t>M</t>
        </is>
      </c>
      <c r="F103" s="21" t="inlineStr">
        <is>
          <t>SEC</t>
        </is>
      </c>
      <c r="G103" s="23">
        <f>'Work items'!J30</f>
        <v/>
      </c>
      <c r="H103" s="14">
        <f>'Work items'!G30*'Work items'!J30</f>
        <v/>
      </c>
      <c r="I103" s="14">
        <f>'Work items'!O30</f>
        <v/>
      </c>
      <c r="J103" s="16" t="inlineStr">
        <is>
          <t>Policy rollback: a binding reverted to a prior immutable version with prior behavior restored, both transitions in audit metadata</t>
        </is>
      </c>
    </row>
    <row r="104">
      <c r="A104" s="4" t="inlineStr">
        <is>
          <t>WI-025</t>
        </is>
      </c>
      <c r="B104" s="21" t="inlineStr">
        <is>
          <t>M2</t>
        </is>
      </c>
      <c r="C104" s="21" t="inlineStr">
        <is>
          <t>Phase 2</t>
        </is>
      </c>
      <c r="D104" s="16" t="inlineStr">
        <is>
          <t>Control plane</t>
        </is>
      </c>
      <c r="E104" s="21" t="inlineStr">
        <is>
          <t>M</t>
        </is>
      </c>
      <c r="F104" s="21" t="inlineStr">
        <is>
          <t>CONS</t>
        </is>
      </c>
      <c r="G104" s="23">
        <f>'Work items'!K30</f>
        <v/>
      </c>
      <c r="H104" s="14">
        <f>'Work items'!G30*'Work items'!K30</f>
        <v/>
      </c>
      <c r="I104" s="14">
        <f>'Work items'!P30</f>
        <v/>
      </c>
      <c r="J104" s="16" t="inlineStr">
        <is>
          <t>Policy rollback: a binding reverted to a prior immutable version with prior behavior restored, both transitions in audit metadata</t>
        </is>
      </c>
    </row>
    <row r="105">
      <c r="A105" s="25" t="inlineStr">
        <is>
          <t>WI-026</t>
        </is>
      </c>
      <c r="B105" s="26" t="inlineStr">
        <is>
          <t>M2</t>
        </is>
      </c>
      <c r="C105" s="26" t="inlineStr">
        <is>
          <t>Phase 2</t>
        </is>
      </c>
      <c r="D105" s="27" t="inlineStr">
        <is>
          <t>Runtime</t>
        </is>
      </c>
      <c r="E105" s="26" t="inlineStr">
        <is>
          <t>M</t>
        </is>
      </c>
      <c r="F105" s="26" t="inlineStr">
        <is>
          <t>AIG</t>
        </is>
      </c>
      <c r="G105" s="23">
        <f>'Work items'!H31</f>
        <v/>
      </c>
      <c r="H105" s="14">
        <f>'Work items'!G31*'Work items'!H31</f>
        <v/>
      </c>
      <c r="I105" s="14">
        <f>'Work items'!M31</f>
        <v/>
      </c>
      <c r="J105" s="27" t="inlineStr">
        <is>
          <t>Promotion between ladder states is an explicit, auditable action — never an implicit side effect of another change</t>
        </is>
      </c>
    </row>
    <row r="106">
      <c r="A106" s="25" t="inlineStr">
        <is>
          <t>WI-026</t>
        </is>
      </c>
      <c r="B106" s="26" t="inlineStr">
        <is>
          <t>M2</t>
        </is>
      </c>
      <c r="C106" s="26" t="inlineStr">
        <is>
          <t>Phase 2</t>
        </is>
      </c>
      <c r="D106" s="27" t="inlineStr">
        <is>
          <t>Runtime</t>
        </is>
      </c>
      <c r="E106" s="26" t="inlineStr">
        <is>
          <t>M</t>
        </is>
      </c>
      <c r="F106" s="26" t="inlineStr">
        <is>
          <t>OPS</t>
        </is>
      </c>
      <c r="G106" s="23">
        <f>'Work items'!I31</f>
        <v/>
      </c>
      <c r="H106" s="14">
        <f>'Work items'!G31*'Work items'!I31</f>
        <v/>
      </c>
      <c r="I106" s="14">
        <f>'Work items'!N31</f>
        <v/>
      </c>
      <c r="J106" s="27" t="inlineStr">
        <is>
          <t>Promotion between ladder states is an explicit, auditable action — never an implicit side effect of another change</t>
        </is>
      </c>
    </row>
    <row r="107">
      <c r="A107" s="25" t="inlineStr">
        <is>
          <t>WI-026</t>
        </is>
      </c>
      <c r="B107" s="26" t="inlineStr">
        <is>
          <t>M2</t>
        </is>
      </c>
      <c r="C107" s="26" t="inlineStr">
        <is>
          <t>Phase 2</t>
        </is>
      </c>
      <c r="D107" s="27" t="inlineStr">
        <is>
          <t>Runtime</t>
        </is>
      </c>
      <c r="E107" s="26" t="inlineStr">
        <is>
          <t>M</t>
        </is>
      </c>
      <c r="F107" s="26" t="inlineStr">
        <is>
          <t>SEC</t>
        </is>
      </c>
      <c r="G107" s="23">
        <f>'Work items'!J31</f>
        <v/>
      </c>
      <c r="H107" s="14">
        <f>'Work items'!G31*'Work items'!J31</f>
        <v/>
      </c>
      <c r="I107" s="14">
        <f>'Work items'!O31</f>
        <v/>
      </c>
      <c r="J107" s="27" t="inlineStr">
        <is>
          <t>Promotion between ladder states is an explicit, auditable action — never an implicit side effect of another change</t>
        </is>
      </c>
    </row>
    <row r="108">
      <c r="A108" s="25" t="inlineStr">
        <is>
          <t>WI-026</t>
        </is>
      </c>
      <c r="B108" s="26" t="inlineStr">
        <is>
          <t>M2</t>
        </is>
      </c>
      <c r="C108" s="26" t="inlineStr">
        <is>
          <t>Phase 2</t>
        </is>
      </c>
      <c r="D108" s="27" t="inlineStr">
        <is>
          <t>Runtime</t>
        </is>
      </c>
      <c r="E108" s="26" t="inlineStr">
        <is>
          <t>M</t>
        </is>
      </c>
      <c r="F108" s="26" t="inlineStr">
        <is>
          <t>CONS</t>
        </is>
      </c>
      <c r="G108" s="23">
        <f>'Work items'!K31</f>
        <v/>
      </c>
      <c r="H108" s="14">
        <f>'Work items'!G31*'Work items'!K31</f>
        <v/>
      </c>
      <c r="I108" s="14">
        <f>'Work items'!P31</f>
        <v/>
      </c>
      <c r="J108" s="27" t="inlineStr">
        <is>
          <t>Promotion between ladder states is an explicit, auditable action — never an implicit side effect of another change</t>
        </is>
      </c>
    </row>
    <row r="109">
      <c r="A109" s="4" t="inlineStr">
        <is>
          <t>WI-027</t>
        </is>
      </c>
      <c r="B109" s="21" t="inlineStr">
        <is>
          <t>M2</t>
        </is>
      </c>
      <c r="C109" s="21" t="inlineStr">
        <is>
          <t>Phase 2</t>
        </is>
      </c>
      <c r="D109" s="16" t="inlineStr">
        <is>
          <t>Observability</t>
        </is>
      </c>
      <c r="E109" s="21" t="inlineStr">
        <is>
          <t>L</t>
        </is>
      </c>
      <c r="F109" s="21" t="inlineStr">
        <is>
          <t>AIG</t>
        </is>
      </c>
      <c r="G109" s="23">
        <f>'Work items'!H32</f>
        <v/>
      </c>
      <c r="H109" s="14">
        <f>'Work items'!G32*'Work items'!H32</f>
        <v/>
      </c>
      <c r="I109" s="14">
        <f>'Work items'!M32</f>
        <v/>
      </c>
      <c r="J109" s="16" t="inlineStr">
        <is>
          <t>Service-level monitoring covering evaluation latency, timeout rate, decision distribution and policy-cache hit rate</t>
        </is>
      </c>
    </row>
    <row r="110">
      <c r="A110" s="4" t="inlineStr">
        <is>
          <t>WI-027</t>
        </is>
      </c>
      <c r="B110" s="21" t="inlineStr">
        <is>
          <t>M2</t>
        </is>
      </c>
      <c r="C110" s="21" t="inlineStr">
        <is>
          <t>Phase 2</t>
        </is>
      </c>
      <c r="D110" s="16" t="inlineStr">
        <is>
          <t>Observability</t>
        </is>
      </c>
      <c r="E110" s="21" t="inlineStr">
        <is>
          <t>L</t>
        </is>
      </c>
      <c r="F110" s="21" t="inlineStr">
        <is>
          <t>OPS</t>
        </is>
      </c>
      <c r="G110" s="23">
        <f>'Work items'!I32</f>
        <v/>
      </c>
      <c r="H110" s="14">
        <f>'Work items'!G32*'Work items'!I32</f>
        <v/>
      </c>
      <c r="I110" s="14">
        <f>'Work items'!N32</f>
        <v/>
      </c>
      <c r="J110" s="16" t="inlineStr">
        <is>
          <t>Service-level monitoring covering evaluation latency, timeout rate, decision distribution and policy-cache hit rate</t>
        </is>
      </c>
    </row>
    <row r="111">
      <c r="A111" s="4" t="inlineStr">
        <is>
          <t>WI-027</t>
        </is>
      </c>
      <c r="B111" s="21" t="inlineStr">
        <is>
          <t>M2</t>
        </is>
      </c>
      <c r="C111" s="21" t="inlineStr">
        <is>
          <t>Phase 2</t>
        </is>
      </c>
      <c r="D111" s="16" t="inlineStr">
        <is>
          <t>Observability</t>
        </is>
      </c>
      <c r="E111" s="21" t="inlineStr">
        <is>
          <t>L</t>
        </is>
      </c>
      <c r="F111" s="21" t="inlineStr">
        <is>
          <t>SEC</t>
        </is>
      </c>
      <c r="G111" s="23">
        <f>'Work items'!J32</f>
        <v/>
      </c>
      <c r="H111" s="14">
        <f>'Work items'!G32*'Work items'!J32</f>
        <v/>
      </c>
      <c r="I111" s="14">
        <f>'Work items'!O32</f>
        <v/>
      </c>
      <c r="J111" s="16" t="inlineStr">
        <is>
          <t>Service-level monitoring covering evaluation latency, timeout rate, decision distribution and policy-cache hit rate</t>
        </is>
      </c>
    </row>
    <row r="112">
      <c r="A112" s="4" t="inlineStr">
        <is>
          <t>WI-027</t>
        </is>
      </c>
      <c r="B112" s="21" t="inlineStr">
        <is>
          <t>M2</t>
        </is>
      </c>
      <c r="C112" s="21" t="inlineStr">
        <is>
          <t>Phase 2</t>
        </is>
      </c>
      <c r="D112" s="16" t="inlineStr">
        <is>
          <t>Observability</t>
        </is>
      </c>
      <c r="E112" s="21" t="inlineStr">
        <is>
          <t>L</t>
        </is>
      </c>
      <c r="F112" s="21" t="inlineStr">
        <is>
          <t>CONS</t>
        </is>
      </c>
      <c r="G112" s="23">
        <f>'Work items'!K32</f>
        <v/>
      </c>
      <c r="H112" s="14">
        <f>'Work items'!G32*'Work items'!K32</f>
        <v/>
      </c>
      <c r="I112" s="14">
        <f>'Work items'!P32</f>
        <v/>
      </c>
      <c r="J112" s="16" t="inlineStr">
        <is>
          <t>Service-level monitoring covering evaluation latency, timeout rate, decision distribution and policy-cache hit rate</t>
        </is>
      </c>
    </row>
    <row r="113">
      <c r="A113" s="25" t="inlineStr">
        <is>
          <t>WI-028</t>
        </is>
      </c>
      <c r="B113" s="26" t="inlineStr">
        <is>
          <t>M2</t>
        </is>
      </c>
      <c r="C113" s="26" t="inlineStr">
        <is>
          <t>Phase 2</t>
        </is>
      </c>
      <c r="D113" s="27" t="inlineStr">
        <is>
          <t>Control plane</t>
        </is>
      </c>
      <c r="E113" s="26" t="inlineStr">
        <is>
          <t>M</t>
        </is>
      </c>
      <c r="F113" s="26" t="inlineStr">
        <is>
          <t>AIG</t>
        </is>
      </c>
      <c r="G113" s="23">
        <f>'Work items'!H33</f>
        <v/>
      </c>
      <c r="H113" s="14">
        <f>'Work items'!G33*'Work items'!H33</f>
        <v/>
      </c>
      <c r="I113" s="14">
        <f>'Work items'!M33</f>
        <v/>
      </c>
      <c r="J113" s="27" t="inlineStr">
        <is>
          <t>Basic administration workflow for tenant, workload and binding management — a minimal management API and version-controlled configuration are acceptable at this milestone</t>
        </is>
      </c>
    </row>
    <row r="114">
      <c r="A114" s="25" t="inlineStr">
        <is>
          <t>WI-028</t>
        </is>
      </c>
      <c r="B114" s="26" t="inlineStr">
        <is>
          <t>M2</t>
        </is>
      </c>
      <c r="C114" s="26" t="inlineStr">
        <is>
          <t>Phase 2</t>
        </is>
      </c>
      <c r="D114" s="27" t="inlineStr">
        <is>
          <t>Control plane</t>
        </is>
      </c>
      <c r="E114" s="26" t="inlineStr">
        <is>
          <t>M</t>
        </is>
      </c>
      <c r="F114" s="26" t="inlineStr">
        <is>
          <t>OPS</t>
        </is>
      </c>
      <c r="G114" s="23">
        <f>'Work items'!I33</f>
        <v/>
      </c>
      <c r="H114" s="14">
        <f>'Work items'!G33*'Work items'!I33</f>
        <v/>
      </c>
      <c r="I114" s="14">
        <f>'Work items'!N33</f>
        <v/>
      </c>
      <c r="J114" s="27" t="inlineStr">
        <is>
          <t>Basic administration workflow for tenant, workload and binding management — a minimal management API and version-controlled configuration are acceptable at this milestone</t>
        </is>
      </c>
    </row>
    <row r="115">
      <c r="A115" s="25" t="inlineStr">
        <is>
          <t>WI-028</t>
        </is>
      </c>
      <c r="B115" s="26" t="inlineStr">
        <is>
          <t>M2</t>
        </is>
      </c>
      <c r="C115" s="26" t="inlineStr">
        <is>
          <t>Phase 2</t>
        </is>
      </c>
      <c r="D115" s="27" t="inlineStr">
        <is>
          <t>Control plane</t>
        </is>
      </c>
      <c r="E115" s="26" t="inlineStr">
        <is>
          <t>M</t>
        </is>
      </c>
      <c r="F115" s="26" t="inlineStr">
        <is>
          <t>SEC</t>
        </is>
      </c>
      <c r="G115" s="23">
        <f>'Work items'!J33</f>
        <v/>
      </c>
      <c r="H115" s="14">
        <f>'Work items'!G33*'Work items'!J33</f>
        <v/>
      </c>
      <c r="I115" s="14">
        <f>'Work items'!O33</f>
        <v/>
      </c>
      <c r="J115" s="27" t="inlineStr">
        <is>
          <t>Basic administration workflow for tenant, workload and binding management — a minimal management API and version-controlled configuration are acceptable at this milestone</t>
        </is>
      </c>
    </row>
    <row r="116">
      <c r="A116" s="25" t="inlineStr">
        <is>
          <t>WI-028</t>
        </is>
      </c>
      <c r="B116" s="26" t="inlineStr">
        <is>
          <t>M2</t>
        </is>
      </c>
      <c r="C116" s="26" t="inlineStr">
        <is>
          <t>Phase 2</t>
        </is>
      </c>
      <c r="D116" s="27" t="inlineStr">
        <is>
          <t>Control plane</t>
        </is>
      </c>
      <c r="E116" s="26" t="inlineStr">
        <is>
          <t>M</t>
        </is>
      </c>
      <c r="F116" s="26" t="inlineStr">
        <is>
          <t>CONS</t>
        </is>
      </c>
      <c r="G116" s="23">
        <f>'Work items'!K33</f>
        <v/>
      </c>
      <c r="H116" s="14">
        <f>'Work items'!G33*'Work items'!K33</f>
        <v/>
      </c>
      <c r="I116" s="14">
        <f>'Work items'!P33</f>
        <v/>
      </c>
      <c r="J116" s="27" t="inlineStr">
        <is>
          <t>Basic administration workflow for tenant, workload and binding management — a minimal management API and version-controlled configuration are acceptable at this milestone</t>
        </is>
      </c>
    </row>
    <row r="117">
      <c r="A117" s="4" t="inlineStr">
        <is>
          <t>WI-029</t>
        </is>
      </c>
      <c r="B117" s="21" t="inlineStr">
        <is>
          <t>M2</t>
        </is>
      </c>
      <c r="C117" s="21" t="inlineStr">
        <is>
          <t>Phase 2</t>
        </is>
      </c>
      <c r="D117" s="16" t="inlineStr">
        <is>
          <t>Validation</t>
        </is>
      </c>
      <c r="E117" s="21" t="inlineStr">
        <is>
          <t>M</t>
        </is>
      </c>
      <c r="F117" s="21" t="inlineStr">
        <is>
          <t>AIG</t>
        </is>
      </c>
      <c r="G117" s="23">
        <f>'Work items'!H34</f>
        <v/>
      </c>
      <c r="H117" s="14">
        <f>'Work items'!G34*'Work items'!H34</f>
        <v/>
      </c>
      <c r="I117" s="14">
        <f>'Work items'!M34</f>
        <v/>
      </c>
      <c r="J117" s="16" t="inlineStr">
        <is>
          <t>Two internal teams have independently registered a workload, bound it to the same shared policy version, and operate under distinct identities and distinct enforcement modes</t>
        </is>
      </c>
    </row>
    <row r="118">
      <c r="A118" s="4" t="inlineStr">
        <is>
          <t>WI-029</t>
        </is>
      </c>
      <c r="B118" s="21" t="inlineStr">
        <is>
          <t>M2</t>
        </is>
      </c>
      <c r="C118" s="21" t="inlineStr">
        <is>
          <t>Phase 2</t>
        </is>
      </c>
      <c r="D118" s="16" t="inlineStr">
        <is>
          <t>Validation</t>
        </is>
      </c>
      <c r="E118" s="21" t="inlineStr">
        <is>
          <t>M</t>
        </is>
      </c>
      <c r="F118" s="21" t="inlineStr">
        <is>
          <t>OPS</t>
        </is>
      </c>
      <c r="G118" s="23">
        <f>'Work items'!I34</f>
        <v/>
      </c>
      <c r="H118" s="14">
        <f>'Work items'!G34*'Work items'!I34</f>
        <v/>
      </c>
      <c r="I118" s="14">
        <f>'Work items'!N34</f>
        <v/>
      </c>
      <c r="J118" s="16" t="inlineStr">
        <is>
          <t>Two internal teams have independently registered a workload, bound it to the same shared policy version, and operate under distinct identities and distinct enforcement modes</t>
        </is>
      </c>
    </row>
    <row r="119">
      <c r="A119" s="4" t="inlineStr">
        <is>
          <t>WI-029</t>
        </is>
      </c>
      <c r="B119" s="21" t="inlineStr">
        <is>
          <t>M2</t>
        </is>
      </c>
      <c r="C119" s="21" t="inlineStr">
        <is>
          <t>Phase 2</t>
        </is>
      </c>
      <c r="D119" s="16" t="inlineStr">
        <is>
          <t>Validation</t>
        </is>
      </c>
      <c r="E119" s="21" t="inlineStr">
        <is>
          <t>M</t>
        </is>
      </c>
      <c r="F119" s="21" t="inlineStr">
        <is>
          <t>SEC</t>
        </is>
      </c>
      <c r="G119" s="23">
        <f>'Work items'!J34</f>
        <v/>
      </c>
      <c r="H119" s="14">
        <f>'Work items'!G34*'Work items'!J34</f>
        <v/>
      </c>
      <c r="I119" s="14">
        <f>'Work items'!O34</f>
        <v/>
      </c>
      <c r="J119" s="16" t="inlineStr">
        <is>
          <t>Two internal teams have independently registered a workload, bound it to the same shared policy version, and operate under distinct identities and distinct enforcement modes</t>
        </is>
      </c>
    </row>
    <row r="120">
      <c r="A120" s="4" t="inlineStr">
        <is>
          <t>WI-029</t>
        </is>
      </c>
      <c r="B120" s="21" t="inlineStr">
        <is>
          <t>M2</t>
        </is>
      </c>
      <c r="C120" s="21" t="inlineStr">
        <is>
          <t>Phase 2</t>
        </is>
      </c>
      <c r="D120" s="16" t="inlineStr">
        <is>
          <t>Validation</t>
        </is>
      </c>
      <c r="E120" s="21" t="inlineStr">
        <is>
          <t>M</t>
        </is>
      </c>
      <c r="F120" s="21" t="inlineStr">
        <is>
          <t>CONS</t>
        </is>
      </c>
      <c r="G120" s="23">
        <f>'Work items'!K34</f>
        <v/>
      </c>
      <c r="H120" s="14">
        <f>'Work items'!G34*'Work items'!K34</f>
        <v/>
      </c>
      <c r="I120" s="14">
        <f>'Work items'!P34</f>
        <v/>
      </c>
      <c r="J120" s="16" t="inlineStr">
        <is>
          <t>Two internal teams have independently registered a workload, bound it to the same shared policy version, and operate under distinct identities and distinct enforcement modes</t>
        </is>
      </c>
    </row>
    <row r="121">
      <c r="A121" s="25" t="inlineStr">
        <is>
          <t>WI-030</t>
        </is>
      </c>
      <c r="B121" s="26" t="inlineStr">
        <is>
          <t>M2</t>
        </is>
      </c>
      <c r="C121" s="26" t="inlineStr">
        <is>
          <t>Phase 2</t>
        </is>
      </c>
      <c r="D121" s="27" t="inlineStr">
        <is>
          <t>Validation</t>
        </is>
      </c>
      <c r="E121" s="26" t="inlineStr">
        <is>
          <t>S</t>
        </is>
      </c>
      <c r="F121" s="26" t="inlineStr">
        <is>
          <t>AIG</t>
        </is>
      </c>
      <c r="G121" s="23">
        <f>'Work items'!H35</f>
        <v/>
      </c>
      <c r="H121" s="14">
        <f>'Work items'!G35*'Work items'!H35</f>
        <v/>
      </c>
      <c r="I121" s="14">
        <f>'Work items'!M35</f>
        <v/>
      </c>
      <c r="J121" s="27" t="inlineStr">
        <is>
          <t>A published policy version is upgraded for one workload and rolled back, both behaviors verified and both transitions in the audit trail — MVP-06</t>
        </is>
      </c>
    </row>
    <row r="122">
      <c r="A122" s="25" t="inlineStr">
        <is>
          <t>WI-030</t>
        </is>
      </c>
      <c r="B122" s="26" t="inlineStr">
        <is>
          <t>M2</t>
        </is>
      </c>
      <c r="C122" s="26" t="inlineStr">
        <is>
          <t>Phase 2</t>
        </is>
      </c>
      <c r="D122" s="27" t="inlineStr">
        <is>
          <t>Validation</t>
        </is>
      </c>
      <c r="E122" s="26" t="inlineStr">
        <is>
          <t>S</t>
        </is>
      </c>
      <c r="F122" s="26" t="inlineStr">
        <is>
          <t>OPS</t>
        </is>
      </c>
      <c r="G122" s="23">
        <f>'Work items'!I35</f>
        <v/>
      </c>
      <c r="H122" s="14">
        <f>'Work items'!G35*'Work items'!I35</f>
        <v/>
      </c>
      <c r="I122" s="14">
        <f>'Work items'!N35</f>
        <v/>
      </c>
      <c r="J122" s="27" t="inlineStr">
        <is>
          <t>A published policy version is upgraded for one workload and rolled back, both behaviors verified and both transitions in the audit trail — MVP-06</t>
        </is>
      </c>
    </row>
    <row r="123">
      <c r="A123" s="25" t="inlineStr">
        <is>
          <t>WI-030</t>
        </is>
      </c>
      <c r="B123" s="26" t="inlineStr">
        <is>
          <t>M2</t>
        </is>
      </c>
      <c r="C123" s="26" t="inlineStr">
        <is>
          <t>Phase 2</t>
        </is>
      </c>
      <c r="D123" s="27" t="inlineStr">
        <is>
          <t>Validation</t>
        </is>
      </c>
      <c r="E123" s="26" t="inlineStr">
        <is>
          <t>S</t>
        </is>
      </c>
      <c r="F123" s="26" t="inlineStr">
        <is>
          <t>SEC</t>
        </is>
      </c>
      <c r="G123" s="23">
        <f>'Work items'!J35</f>
        <v/>
      </c>
      <c r="H123" s="14">
        <f>'Work items'!G35*'Work items'!J35</f>
        <v/>
      </c>
      <c r="I123" s="14">
        <f>'Work items'!O35</f>
        <v/>
      </c>
      <c r="J123" s="27" t="inlineStr">
        <is>
          <t>A published policy version is upgraded for one workload and rolled back, both behaviors verified and both transitions in the audit trail — MVP-06</t>
        </is>
      </c>
    </row>
    <row r="124">
      <c r="A124" s="25" t="inlineStr">
        <is>
          <t>WI-030</t>
        </is>
      </c>
      <c r="B124" s="26" t="inlineStr">
        <is>
          <t>M2</t>
        </is>
      </c>
      <c r="C124" s="26" t="inlineStr">
        <is>
          <t>Phase 2</t>
        </is>
      </c>
      <c r="D124" s="27" t="inlineStr">
        <is>
          <t>Validation</t>
        </is>
      </c>
      <c r="E124" s="26" t="inlineStr">
        <is>
          <t>S</t>
        </is>
      </c>
      <c r="F124" s="26" t="inlineStr">
        <is>
          <t>CONS</t>
        </is>
      </c>
      <c r="G124" s="23">
        <f>'Work items'!K35</f>
        <v/>
      </c>
      <c r="H124" s="14">
        <f>'Work items'!G35*'Work items'!K35</f>
        <v/>
      </c>
      <c r="I124" s="14">
        <f>'Work items'!P35</f>
        <v/>
      </c>
      <c r="J124" s="27" t="inlineStr">
        <is>
          <t>A published policy version is upgraded for one workload and rolled back, both behaviors verified and both transitions in the audit trail — MVP-06</t>
        </is>
      </c>
    </row>
    <row r="125">
      <c r="A125" s="4" t="inlineStr">
        <is>
          <t>WI-031</t>
        </is>
      </c>
      <c r="B125" s="21" t="inlineStr">
        <is>
          <t>M3</t>
        </is>
      </c>
      <c r="C125" s="21" t="inlineStr">
        <is>
          <t>Phase 3</t>
        </is>
      </c>
      <c r="D125" s="16" t="inlineStr">
        <is>
          <t>Gateway</t>
        </is>
      </c>
      <c r="E125" s="21" t="inlineStr">
        <is>
          <t>XL</t>
        </is>
      </c>
      <c r="F125" s="21" t="inlineStr">
        <is>
          <t>AIG</t>
        </is>
      </c>
      <c r="G125" s="23">
        <f>'Work items'!H36</f>
        <v/>
      </c>
      <c r="H125" s="14">
        <f>'Work items'!G36*'Work items'!H36</f>
        <v/>
      </c>
      <c r="I125" s="14">
        <f>'Work items'!M36</f>
        <v/>
      </c>
      <c r="J125" s="16" t="inlineStr">
        <is>
          <t>A managed gateway operated end to end by the provider</t>
        </is>
      </c>
    </row>
    <row r="126">
      <c r="A126" s="4" t="inlineStr">
        <is>
          <t>WI-031</t>
        </is>
      </c>
      <c r="B126" s="21" t="inlineStr">
        <is>
          <t>M3</t>
        </is>
      </c>
      <c r="C126" s="21" t="inlineStr">
        <is>
          <t>Phase 3</t>
        </is>
      </c>
      <c r="D126" s="16" t="inlineStr">
        <is>
          <t>Gateway</t>
        </is>
      </c>
      <c r="E126" s="21" t="inlineStr">
        <is>
          <t>XL</t>
        </is>
      </c>
      <c r="F126" s="21" t="inlineStr">
        <is>
          <t>OPS</t>
        </is>
      </c>
      <c r="G126" s="23">
        <f>'Work items'!I36</f>
        <v/>
      </c>
      <c r="H126" s="14">
        <f>'Work items'!G36*'Work items'!I36</f>
        <v/>
      </c>
      <c r="I126" s="14">
        <f>'Work items'!N36</f>
        <v/>
      </c>
      <c r="J126" s="16" t="inlineStr">
        <is>
          <t>A managed gateway operated end to end by the provider</t>
        </is>
      </c>
    </row>
    <row r="127">
      <c r="A127" s="4" t="inlineStr">
        <is>
          <t>WI-031</t>
        </is>
      </c>
      <c r="B127" s="21" t="inlineStr">
        <is>
          <t>M3</t>
        </is>
      </c>
      <c r="C127" s="21" t="inlineStr">
        <is>
          <t>Phase 3</t>
        </is>
      </c>
      <c r="D127" s="16" t="inlineStr">
        <is>
          <t>Gateway</t>
        </is>
      </c>
      <c r="E127" s="21" t="inlineStr">
        <is>
          <t>XL</t>
        </is>
      </c>
      <c r="F127" s="21" t="inlineStr">
        <is>
          <t>SEC</t>
        </is>
      </c>
      <c r="G127" s="23">
        <f>'Work items'!J36</f>
        <v/>
      </c>
      <c r="H127" s="14">
        <f>'Work items'!G36*'Work items'!J36</f>
        <v/>
      </c>
      <c r="I127" s="14">
        <f>'Work items'!O36</f>
        <v/>
      </c>
      <c r="J127" s="16" t="inlineStr">
        <is>
          <t>A managed gateway operated end to end by the provider</t>
        </is>
      </c>
    </row>
    <row r="128">
      <c r="A128" s="4" t="inlineStr">
        <is>
          <t>WI-031</t>
        </is>
      </c>
      <c r="B128" s="21" t="inlineStr">
        <is>
          <t>M3</t>
        </is>
      </c>
      <c r="C128" s="21" t="inlineStr">
        <is>
          <t>Phase 3</t>
        </is>
      </c>
      <c r="D128" s="16" t="inlineStr">
        <is>
          <t>Gateway</t>
        </is>
      </c>
      <c r="E128" s="21" t="inlineStr">
        <is>
          <t>XL</t>
        </is>
      </c>
      <c r="F128" s="21" t="inlineStr">
        <is>
          <t>CONS</t>
        </is>
      </c>
      <c r="G128" s="23">
        <f>'Work items'!K36</f>
        <v/>
      </c>
      <c r="H128" s="14">
        <f>'Work items'!G36*'Work items'!K36</f>
        <v/>
      </c>
      <c r="I128" s="14">
        <f>'Work items'!P36</f>
        <v/>
      </c>
      <c r="J128" s="16" t="inlineStr">
        <is>
          <t>A managed gateway operated end to end by the provider</t>
        </is>
      </c>
    </row>
    <row r="129">
      <c r="A129" s="25" t="inlineStr">
        <is>
          <t>WI-032</t>
        </is>
      </c>
      <c r="B129" s="26" t="inlineStr">
        <is>
          <t>M3</t>
        </is>
      </c>
      <c r="C129" s="26" t="inlineStr">
        <is>
          <t>Phase 3</t>
        </is>
      </c>
      <c r="D129" s="27" t="inlineStr">
        <is>
          <t>Gateway</t>
        </is>
      </c>
      <c r="E129" s="26" t="inlineStr">
        <is>
          <t>M</t>
        </is>
      </c>
      <c r="F129" s="26" t="inlineStr">
        <is>
          <t>AIG</t>
        </is>
      </c>
      <c r="G129" s="23">
        <f>'Work items'!H37</f>
        <v/>
      </c>
      <c r="H129" s="14">
        <f>'Work items'!G37*'Work items'!H37</f>
        <v/>
      </c>
      <c r="I129" s="14">
        <f>'Work items'!M37</f>
        <v/>
      </c>
      <c r="J129" s="27" t="inlineStr">
        <is>
          <t>Model-provider configuration implemented and operated by the provider, not the consuming team, for gateway traffic</t>
        </is>
      </c>
    </row>
    <row r="130">
      <c r="A130" s="25" t="inlineStr">
        <is>
          <t>WI-032</t>
        </is>
      </c>
      <c r="B130" s="26" t="inlineStr">
        <is>
          <t>M3</t>
        </is>
      </c>
      <c r="C130" s="26" t="inlineStr">
        <is>
          <t>Phase 3</t>
        </is>
      </c>
      <c r="D130" s="27" t="inlineStr">
        <is>
          <t>Gateway</t>
        </is>
      </c>
      <c r="E130" s="26" t="inlineStr">
        <is>
          <t>M</t>
        </is>
      </c>
      <c r="F130" s="26" t="inlineStr">
        <is>
          <t>OPS</t>
        </is>
      </c>
      <c r="G130" s="23">
        <f>'Work items'!I37</f>
        <v/>
      </c>
      <c r="H130" s="14">
        <f>'Work items'!G37*'Work items'!I37</f>
        <v/>
      </c>
      <c r="I130" s="14">
        <f>'Work items'!N37</f>
        <v/>
      </c>
      <c r="J130" s="27" t="inlineStr">
        <is>
          <t>Model-provider configuration implemented and operated by the provider, not the consuming team, for gateway traffic</t>
        </is>
      </c>
    </row>
    <row r="131">
      <c r="A131" s="25" t="inlineStr">
        <is>
          <t>WI-032</t>
        </is>
      </c>
      <c r="B131" s="26" t="inlineStr">
        <is>
          <t>M3</t>
        </is>
      </c>
      <c r="C131" s="26" t="inlineStr">
        <is>
          <t>Phase 3</t>
        </is>
      </c>
      <c r="D131" s="27" t="inlineStr">
        <is>
          <t>Gateway</t>
        </is>
      </c>
      <c r="E131" s="26" t="inlineStr">
        <is>
          <t>M</t>
        </is>
      </c>
      <c r="F131" s="26" t="inlineStr">
        <is>
          <t>SEC</t>
        </is>
      </c>
      <c r="G131" s="23">
        <f>'Work items'!J37</f>
        <v/>
      </c>
      <c r="H131" s="14">
        <f>'Work items'!G37*'Work items'!J37</f>
        <v/>
      </c>
      <c r="I131" s="14">
        <f>'Work items'!O37</f>
        <v/>
      </c>
      <c r="J131" s="27" t="inlineStr">
        <is>
          <t>Model-provider configuration implemented and operated by the provider, not the consuming team, for gateway traffic</t>
        </is>
      </c>
    </row>
    <row r="132">
      <c r="A132" s="25" t="inlineStr">
        <is>
          <t>WI-032</t>
        </is>
      </c>
      <c r="B132" s="26" t="inlineStr">
        <is>
          <t>M3</t>
        </is>
      </c>
      <c r="C132" s="26" t="inlineStr">
        <is>
          <t>Phase 3</t>
        </is>
      </c>
      <c r="D132" s="27" t="inlineStr">
        <is>
          <t>Gateway</t>
        </is>
      </c>
      <c r="E132" s="26" t="inlineStr">
        <is>
          <t>M</t>
        </is>
      </c>
      <c r="F132" s="26" t="inlineStr">
        <is>
          <t>CONS</t>
        </is>
      </c>
      <c r="G132" s="23">
        <f>'Work items'!K37</f>
        <v/>
      </c>
      <c r="H132" s="14">
        <f>'Work items'!G37*'Work items'!K37</f>
        <v/>
      </c>
      <c r="I132" s="14">
        <f>'Work items'!P37</f>
        <v/>
      </c>
      <c r="J132" s="27" t="inlineStr">
        <is>
          <t>Model-provider configuration implemented and operated by the provider, not the consuming team, for gateway traffic</t>
        </is>
      </c>
    </row>
    <row r="133">
      <c r="A133" s="4" t="inlineStr">
        <is>
          <t>WI-033</t>
        </is>
      </c>
      <c r="B133" s="21" t="inlineStr">
        <is>
          <t>M3</t>
        </is>
      </c>
      <c r="C133" s="21" t="inlineStr">
        <is>
          <t>Phase 3</t>
        </is>
      </c>
      <c r="D133" s="16" t="inlineStr">
        <is>
          <t>Gateway</t>
        </is>
      </c>
      <c r="E133" s="21" t="inlineStr">
        <is>
          <t>L</t>
        </is>
      </c>
      <c r="F133" s="21" t="inlineStr">
        <is>
          <t>AIG</t>
        </is>
      </c>
      <c r="G133" s="23">
        <f>'Work items'!H38</f>
        <v/>
      </c>
      <c r="H133" s="14">
        <f>'Work items'!G38*'Work items'!H38</f>
        <v/>
      </c>
      <c r="I133" s="14">
        <f>'Work items'!M38</f>
        <v/>
      </c>
      <c r="J133" s="16" t="inlineStr">
        <is>
          <t>Per-tenant routing directing each tenant's inference traffic to the correct model configuration</t>
        </is>
      </c>
    </row>
    <row r="134">
      <c r="A134" s="4" t="inlineStr">
        <is>
          <t>WI-033</t>
        </is>
      </c>
      <c r="B134" s="21" t="inlineStr">
        <is>
          <t>M3</t>
        </is>
      </c>
      <c r="C134" s="21" t="inlineStr">
        <is>
          <t>Phase 3</t>
        </is>
      </c>
      <c r="D134" s="16" t="inlineStr">
        <is>
          <t>Gateway</t>
        </is>
      </c>
      <c r="E134" s="21" t="inlineStr">
        <is>
          <t>L</t>
        </is>
      </c>
      <c r="F134" s="21" t="inlineStr">
        <is>
          <t>OPS</t>
        </is>
      </c>
      <c r="G134" s="23">
        <f>'Work items'!I38</f>
        <v/>
      </c>
      <c r="H134" s="14">
        <f>'Work items'!G38*'Work items'!I38</f>
        <v/>
      </c>
      <c r="I134" s="14">
        <f>'Work items'!N38</f>
        <v/>
      </c>
      <c r="J134" s="16" t="inlineStr">
        <is>
          <t>Per-tenant routing directing each tenant's inference traffic to the correct model configuration</t>
        </is>
      </c>
    </row>
    <row r="135">
      <c r="A135" s="4" t="inlineStr">
        <is>
          <t>WI-033</t>
        </is>
      </c>
      <c r="B135" s="21" t="inlineStr">
        <is>
          <t>M3</t>
        </is>
      </c>
      <c r="C135" s="21" t="inlineStr">
        <is>
          <t>Phase 3</t>
        </is>
      </c>
      <c r="D135" s="16" t="inlineStr">
        <is>
          <t>Gateway</t>
        </is>
      </c>
      <c r="E135" s="21" t="inlineStr">
        <is>
          <t>L</t>
        </is>
      </c>
      <c r="F135" s="21" t="inlineStr">
        <is>
          <t>SEC</t>
        </is>
      </c>
      <c r="G135" s="23">
        <f>'Work items'!J38</f>
        <v/>
      </c>
      <c r="H135" s="14">
        <f>'Work items'!G38*'Work items'!J38</f>
        <v/>
      </c>
      <c r="I135" s="14">
        <f>'Work items'!O38</f>
        <v/>
      </c>
      <c r="J135" s="16" t="inlineStr">
        <is>
          <t>Per-tenant routing directing each tenant's inference traffic to the correct model configuration</t>
        </is>
      </c>
    </row>
    <row r="136">
      <c r="A136" s="4" t="inlineStr">
        <is>
          <t>WI-033</t>
        </is>
      </c>
      <c r="B136" s="21" t="inlineStr">
        <is>
          <t>M3</t>
        </is>
      </c>
      <c r="C136" s="21" t="inlineStr">
        <is>
          <t>Phase 3</t>
        </is>
      </c>
      <c r="D136" s="16" t="inlineStr">
        <is>
          <t>Gateway</t>
        </is>
      </c>
      <c r="E136" s="21" t="inlineStr">
        <is>
          <t>L</t>
        </is>
      </c>
      <c r="F136" s="21" t="inlineStr">
        <is>
          <t>CONS</t>
        </is>
      </c>
      <c r="G136" s="23">
        <f>'Work items'!K38</f>
        <v/>
      </c>
      <c r="H136" s="14">
        <f>'Work items'!G38*'Work items'!K38</f>
        <v/>
      </c>
      <c r="I136" s="14">
        <f>'Work items'!P38</f>
        <v/>
      </c>
      <c r="J136" s="16" t="inlineStr">
        <is>
          <t>Per-tenant routing directing each tenant's inference traffic to the correct model configuration</t>
        </is>
      </c>
    </row>
    <row r="137">
      <c r="A137" s="25" t="inlineStr">
        <is>
          <t>WI-034</t>
        </is>
      </c>
      <c r="B137" s="26" t="inlineStr">
        <is>
          <t>M3</t>
        </is>
      </c>
      <c r="C137" s="26" t="inlineStr">
        <is>
          <t>Phase 3</t>
        </is>
      </c>
      <c r="D137" s="27" t="inlineStr">
        <is>
          <t>Gateway</t>
        </is>
      </c>
      <c r="E137" s="26" t="inlineStr">
        <is>
          <t>L</t>
        </is>
      </c>
      <c r="F137" s="26" t="inlineStr">
        <is>
          <t>AIG</t>
        </is>
      </c>
      <c r="G137" s="23">
        <f>'Work items'!H39</f>
        <v/>
      </c>
      <c r="H137" s="14">
        <f>'Work items'!G39*'Work items'!H39</f>
        <v/>
      </c>
      <c r="I137" s="14">
        <f>'Work items'!M39</f>
        <v/>
      </c>
      <c r="J137" s="27" t="inlineStr">
        <is>
          <t>Cost and rate controls covering rate limits and usage quotas for the managed path</t>
        </is>
      </c>
    </row>
    <row r="138">
      <c r="A138" s="25" t="inlineStr">
        <is>
          <t>WI-034</t>
        </is>
      </c>
      <c r="B138" s="26" t="inlineStr">
        <is>
          <t>M3</t>
        </is>
      </c>
      <c r="C138" s="26" t="inlineStr">
        <is>
          <t>Phase 3</t>
        </is>
      </c>
      <c r="D138" s="27" t="inlineStr">
        <is>
          <t>Gateway</t>
        </is>
      </c>
      <c r="E138" s="26" t="inlineStr">
        <is>
          <t>L</t>
        </is>
      </c>
      <c r="F138" s="26" t="inlineStr">
        <is>
          <t>OPS</t>
        </is>
      </c>
      <c r="G138" s="23">
        <f>'Work items'!I39</f>
        <v/>
      </c>
      <c r="H138" s="14">
        <f>'Work items'!G39*'Work items'!I39</f>
        <v/>
      </c>
      <c r="I138" s="14">
        <f>'Work items'!N39</f>
        <v/>
      </c>
      <c r="J138" s="27" t="inlineStr">
        <is>
          <t>Cost and rate controls covering rate limits and usage quotas for the managed path</t>
        </is>
      </c>
    </row>
    <row r="139">
      <c r="A139" s="25" t="inlineStr">
        <is>
          <t>WI-034</t>
        </is>
      </c>
      <c r="B139" s="26" t="inlineStr">
        <is>
          <t>M3</t>
        </is>
      </c>
      <c r="C139" s="26" t="inlineStr">
        <is>
          <t>Phase 3</t>
        </is>
      </c>
      <c r="D139" s="27" t="inlineStr">
        <is>
          <t>Gateway</t>
        </is>
      </c>
      <c r="E139" s="26" t="inlineStr">
        <is>
          <t>L</t>
        </is>
      </c>
      <c r="F139" s="26" t="inlineStr">
        <is>
          <t>SEC</t>
        </is>
      </c>
      <c r="G139" s="23">
        <f>'Work items'!J39</f>
        <v/>
      </c>
      <c r="H139" s="14">
        <f>'Work items'!G39*'Work items'!J39</f>
        <v/>
      </c>
      <c r="I139" s="14">
        <f>'Work items'!O39</f>
        <v/>
      </c>
      <c r="J139" s="27" t="inlineStr">
        <is>
          <t>Cost and rate controls covering rate limits and usage quotas for the managed path</t>
        </is>
      </c>
    </row>
    <row r="140">
      <c r="A140" s="25" t="inlineStr">
        <is>
          <t>WI-034</t>
        </is>
      </c>
      <c r="B140" s="26" t="inlineStr">
        <is>
          <t>M3</t>
        </is>
      </c>
      <c r="C140" s="26" t="inlineStr">
        <is>
          <t>Phase 3</t>
        </is>
      </c>
      <c r="D140" s="27" t="inlineStr">
        <is>
          <t>Gateway</t>
        </is>
      </c>
      <c r="E140" s="26" t="inlineStr">
        <is>
          <t>L</t>
        </is>
      </c>
      <c r="F140" s="26" t="inlineStr">
        <is>
          <t>CONS</t>
        </is>
      </c>
      <c r="G140" s="23">
        <f>'Work items'!K39</f>
        <v/>
      </c>
      <c r="H140" s="14">
        <f>'Work items'!G39*'Work items'!K39</f>
        <v/>
      </c>
      <c r="I140" s="14">
        <f>'Work items'!P39</f>
        <v/>
      </c>
      <c r="J140" s="27" t="inlineStr">
        <is>
          <t>Cost and rate controls covering rate limits and usage quotas for the managed path</t>
        </is>
      </c>
    </row>
    <row r="141">
      <c r="A141" s="4" t="inlineStr">
        <is>
          <t>WI-035</t>
        </is>
      </c>
      <c r="B141" s="21" t="inlineStr">
        <is>
          <t>M3</t>
        </is>
      </c>
      <c r="C141" s="21" t="inlineStr">
        <is>
          <t>Phase 3</t>
        </is>
      </c>
      <c r="D141" s="16" t="inlineStr">
        <is>
          <t>Security</t>
        </is>
      </c>
      <c r="E141" s="21" t="inlineStr">
        <is>
          <t>M</t>
        </is>
      </c>
      <c r="F141" s="21" t="inlineStr">
        <is>
          <t>AIG</t>
        </is>
      </c>
      <c r="G141" s="23">
        <f>'Work items'!H40</f>
        <v/>
      </c>
      <c r="H141" s="14">
        <f>'Work items'!G40*'Work items'!H40</f>
        <v/>
      </c>
      <c r="I141" s="14">
        <f>'Work items'!M40</f>
        <v/>
      </c>
      <c r="J141" s="16" t="inlineStr">
        <is>
          <t>Managed credential custody: the provider holds provider credentials for gateway traffic and the consuming team supplies none</t>
        </is>
      </c>
    </row>
    <row r="142">
      <c r="A142" s="4" t="inlineStr">
        <is>
          <t>WI-035</t>
        </is>
      </c>
      <c r="B142" s="21" t="inlineStr">
        <is>
          <t>M3</t>
        </is>
      </c>
      <c r="C142" s="21" t="inlineStr">
        <is>
          <t>Phase 3</t>
        </is>
      </c>
      <c r="D142" s="16" t="inlineStr">
        <is>
          <t>Security</t>
        </is>
      </c>
      <c r="E142" s="21" t="inlineStr">
        <is>
          <t>M</t>
        </is>
      </c>
      <c r="F142" s="21" t="inlineStr">
        <is>
          <t>OPS</t>
        </is>
      </c>
      <c r="G142" s="23">
        <f>'Work items'!I40</f>
        <v/>
      </c>
      <c r="H142" s="14">
        <f>'Work items'!G40*'Work items'!I40</f>
        <v/>
      </c>
      <c r="I142" s="14">
        <f>'Work items'!N40</f>
        <v/>
      </c>
      <c r="J142" s="16" t="inlineStr">
        <is>
          <t>Managed credential custody: the provider holds provider credentials for gateway traffic and the consuming team supplies none</t>
        </is>
      </c>
    </row>
    <row r="143">
      <c r="A143" s="4" t="inlineStr">
        <is>
          <t>WI-035</t>
        </is>
      </c>
      <c r="B143" s="21" t="inlineStr">
        <is>
          <t>M3</t>
        </is>
      </c>
      <c r="C143" s="21" t="inlineStr">
        <is>
          <t>Phase 3</t>
        </is>
      </c>
      <c r="D143" s="16" t="inlineStr">
        <is>
          <t>Security</t>
        </is>
      </c>
      <c r="E143" s="21" t="inlineStr">
        <is>
          <t>M</t>
        </is>
      </c>
      <c r="F143" s="21" t="inlineStr">
        <is>
          <t>SEC</t>
        </is>
      </c>
      <c r="G143" s="23">
        <f>'Work items'!J40</f>
        <v/>
      </c>
      <c r="H143" s="14">
        <f>'Work items'!G40*'Work items'!J40</f>
        <v/>
      </c>
      <c r="I143" s="14">
        <f>'Work items'!O40</f>
        <v/>
      </c>
      <c r="J143" s="16" t="inlineStr">
        <is>
          <t>Managed credential custody: the provider holds provider credentials for gateway traffic and the consuming team supplies none</t>
        </is>
      </c>
    </row>
    <row r="144">
      <c r="A144" s="4" t="inlineStr">
        <is>
          <t>WI-035</t>
        </is>
      </c>
      <c r="B144" s="21" t="inlineStr">
        <is>
          <t>M3</t>
        </is>
      </c>
      <c r="C144" s="21" t="inlineStr">
        <is>
          <t>Phase 3</t>
        </is>
      </c>
      <c r="D144" s="16" t="inlineStr">
        <is>
          <t>Security</t>
        </is>
      </c>
      <c r="E144" s="21" t="inlineStr">
        <is>
          <t>M</t>
        </is>
      </c>
      <c r="F144" s="21" t="inlineStr">
        <is>
          <t>CONS</t>
        </is>
      </c>
      <c r="G144" s="23">
        <f>'Work items'!K40</f>
        <v/>
      </c>
      <c r="H144" s="14">
        <f>'Work items'!G40*'Work items'!K40</f>
        <v/>
      </c>
      <c r="I144" s="14">
        <f>'Work items'!P40</f>
        <v/>
      </c>
      <c r="J144" s="16" t="inlineStr">
        <is>
          <t>Managed credential custody: the provider holds provider credentials for gateway traffic and the consuming team supplies none</t>
        </is>
      </c>
    </row>
    <row r="145">
      <c r="A145" s="25" t="inlineStr">
        <is>
          <t>WI-036</t>
        </is>
      </c>
      <c r="B145" s="26" t="inlineStr">
        <is>
          <t>M3</t>
        </is>
      </c>
      <c r="C145" s="26" t="inlineStr">
        <is>
          <t>Phase 3</t>
        </is>
      </c>
      <c r="D145" s="27" t="inlineStr">
        <is>
          <t>Operability</t>
        </is>
      </c>
      <c r="E145" s="26" t="inlineStr">
        <is>
          <t>S</t>
        </is>
      </c>
      <c r="F145" s="26" t="inlineStr">
        <is>
          <t>AIG</t>
        </is>
      </c>
      <c r="G145" s="23">
        <f>'Work items'!H41</f>
        <v/>
      </c>
      <c r="H145" s="14">
        <f>'Work items'!G41*'Work items'!H41</f>
        <v/>
      </c>
      <c r="I145" s="14">
        <f>'Work items'!M41</f>
        <v/>
      </c>
      <c r="J145" s="27" t="inlineStr">
        <is>
          <t>A unified availability objective spanning model routing and guardrail evaluation is defined and documented — the objective, not a specific figure</t>
        </is>
      </c>
    </row>
    <row r="146">
      <c r="A146" s="25" t="inlineStr">
        <is>
          <t>WI-036</t>
        </is>
      </c>
      <c r="B146" s="26" t="inlineStr">
        <is>
          <t>M3</t>
        </is>
      </c>
      <c r="C146" s="26" t="inlineStr">
        <is>
          <t>Phase 3</t>
        </is>
      </c>
      <c r="D146" s="27" t="inlineStr">
        <is>
          <t>Operability</t>
        </is>
      </c>
      <c r="E146" s="26" t="inlineStr">
        <is>
          <t>S</t>
        </is>
      </c>
      <c r="F146" s="26" t="inlineStr">
        <is>
          <t>OPS</t>
        </is>
      </c>
      <c r="G146" s="23">
        <f>'Work items'!I41</f>
        <v/>
      </c>
      <c r="H146" s="14">
        <f>'Work items'!G41*'Work items'!I41</f>
        <v/>
      </c>
      <c r="I146" s="14">
        <f>'Work items'!N41</f>
        <v/>
      </c>
      <c r="J146" s="27" t="inlineStr">
        <is>
          <t>A unified availability objective spanning model routing and guardrail evaluation is defined and documented — the objective, not a specific figure</t>
        </is>
      </c>
    </row>
    <row r="147">
      <c r="A147" s="25" t="inlineStr">
        <is>
          <t>WI-036</t>
        </is>
      </c>
      <c r="B147" s="26" t="inlineStr">
        <is>
          <t>M3</t>
        </is>
      </c>
      <c r="C147" s="26" t="inlineStr">
        <is>
          <t>Phase 3</t>
        </is>
      </c>
      <c r="D147" s="27" t="inlineStr">
        <is>
          <t>Operability</t>
        </is>
      </c>
      <c r="E147" s="26" t="inlineStr">
        <is>
          <t>S</t>
        </is>
      </c>
      <c r="F147" s="26" t="inlineStr">
        <is>
          <t>SEC</t>
        </is>
      </c>
      <c r="G147" s="23">
        <f>'Work items'!J41</f>
        <v/>
      </c>
      <c r="H147" s="14">
        <f>'Work items'!G41*'Work items'!J41</f>
        <v/>
      </c>
      <c r="I147" s="14">
        <f>'Work items'!O41</f>
        <v/>
      </c>
      <c r="J147" s="27" t="inlineStr">
        <is>
          <t>A unified availability objective spanning model routing and guardrail evaluation is defined and documented — the objective, not a specific figure</t>
        </is>
      </c>
    </row>
    <row r="148">
      <c r="A148" s="25" t="inlineStr">
        <is>
          <t>WI-036</t>
        </is>
      </c>
      <c r="B148" s="26" t="inlineStr">
        <is>
          <t>M3</t>
        </is>
      </c>
      <c r="C148" s="26" t="inlineStr">
        <is>
          <t>Phase 3</t>
        </is>
      </c>
      <c r="D148" s="27" t="inlineStr">
        <is>
          <t>Operability</t>
        </is>
      </c>
      <c r="E148" s="26" t="inlineStr">
        <is>
          <t>S</t>
        </is>
      </c>
      <c r="F148" s="26" t="inlineStr">
        <is>
          <t>CONS</t>
        </is>
      </c>
      <c r="G148" s="23">
        <f>'Work items'!K41</f>
        <v/>
      </c>
      <c r="H148" s="14">
        <f>'Work items'!G41*'Work items'!K41</f>
        <v/>
      </c>
      <c r="I148" s="14">
        <f>'Work items'!P41</f>
        <v/>
      </c>
      <c r="J148" s="27" t="inlineStr">
        <is>
          <t>A unified availability objective spanning model routing and guardrail evaluation is defined and documented — the objective, not a specific figure</t>
        </is>
      </c>
    </row>
    <row r="149">
      <c r="A149" s="4" t="inlineStr">
        <is>
          <t>WI-037</t>
        </is>
      </c>
      <c r="B149" s="21" t="inlineStr">
        <is>
          <t>M3</t>
        </is>
      </c>
      <c r="C149" s="21" t="inlineStr">
        <is>
          <t>Phase 3</t>
        </is>
      </c>
      <c r="D149" s="16" t="inlineStr">
        <is>
          <t>Validation</t>
        </is>
      </c>
      <c r="E149" s="21" t="inlineStr">
        <is>
          <t>M</t>
        </is>
      </c>
      <c r="F149" s="21" t="inlineStr">
        <is>
          <t>AIG</t>
        </is>
      </c>
      <c r="G149" s="23">
        <f>'Work items'!H42</f>
        <v/>
      </c>
      <c r="H149" s="14">
        <f>'Work items'!G42*'Work items'!H42</f>
        <v/>
      </c>
      <c r="I149" s="14">
        <f>'Work items'!M42</f>
        <v/>
      </c>
      <c r="J149" s="16" t="inlineStr">
        <is>
          <t>At least one workload onboarded and operating end to end through the gateway with input guardrails, routing, invocation, output guardrails and reporting on one request path</t>
        </is>
      </c>
    </row>
    <row r="150">
      <c r="A150" s="4" t="inlineStr">
        <is>
          <t>WI-037</t>
        </is>
      </c>
      <c r="B150" s="21" t="inlineStr">
        <is>
          <t>M3</t>
        </is>
      </c>
      <c r="C150" s="21" t="inlineStr">
        <is>
          <t>Phase 3</t>
        </is>
      </c>
      <c r="D150" s="16" t="inlineStr">
        <is>
          <t>Validation</t>
        </is>
      </c>
      <c r="E150" s="21" t="inlineStr">
        <is>
          <t>M</t>
        </is>
      </c>
      <c r="F150" s="21" t="inlineStr">
        <is>
          <t>OPS</t>
        </is>
      </c>
      <c r="G150" s="23">
        <f>'Work items'!I42</f>
        <v/>
      </c>
      <c r="H150" s="14">
        <f>'Work items'!G42*'Work items'!I42</f>
        <v/>
      </c>
      <c r="I150" s="14">
        <f>'Work items'!N42</f>
        <v/>
      </c>
      <c r="J150" s="16" t="inlineStr">
        <is>
          <t>At least one workload onboarded and operating end to end through the gateway with input guardrails, routing, invocation, output guardrails and reporting on one request path</t>
        </is>
      </c>
    </row>
    <row r="151">
      <c r="A151" s="4" t="inlineStr">
        <is>
          <t>WI-037</t>
        </is>
      </c>
      <c r="B151" s="21" t="inlineStr">
        <is>
          <t>M3</t>
        </is>
      </c>
      <c r="C151" s="21" t="inlineStr">
        <is>
          <t>Phase 3</t>
        </is>
      </c>
      <c r="D151" s="16" t="inlineStr">
        <is>
          <t>Validation</t>
        </is>
      </c>
      <c r="E151" s="21" t="inlineStr">
        <is>
          <t>M</t>
        </is>
      </c>
      <c r="F151" s="21" t="inlineStr">
        <is>
          <t>SEC</t>
        </is>
      </c>
      <c r="G151" s="23">
        <f>'Work items'!J42</f>
        <v/>
      </c>
      <c r="H151" s="14">
        <f>'Work items'!G42*'Work items'!J42</f>
        <v/>
      </c>
      <c r="I151" s="14">
        <f>'Work items'!O42</f>
        <v/>
      </c>
      <c r="J151" s="16" t="inlineStr">
        <is>
          <t>At least one workload onboarded and operating end to end through the gateway with input guardrails, routing, invocation, output guardrails and reporting on one request path</t>
        </is>
      </c>
    </row>
    <row r="152">
      <c r="A152" s="4" t="inlineStr">
        <is>
          <t>WI-037</t>
        </is>
      </c>
      <c r="B152" s="21" t="inlineStr">
        <is>
          <t>M3</t>
        </is>
      </c>
      <c r="C152" s="21" t="inlineStr">
        <is>
          <t>Phase 3</t>
        </is>
      </c>
      <c r="D152" s="16" t="inlineStr">
        <is>
          <t>Validation</t>
        </is>
      </c>
      <c r="E152" s="21" t="inlineStr">
        <is>
          <t>M</t>
        </is>
      </c>
      <c r="F152" s="21" t="inlineStr">
        <is>
          <t>CONS</t>
        </is>
      </c>
      <c r="G152" s="23">
        <f>'Work items'!K42</f>
        <v/>
      </c>
      <c r="H152" s="14">
        <f>'Work items'!G42*'Work items'!K42</f>
        <v/>
      </c>
      <c r="I152" s="14">
        <f>'Work items'!P42</f>
        <v/>
      </c>
      <c r="J152" s="16" t="inlineStr">
        <is>
          <t>At least one workload onboarded and operating end to end through the gateway with input guardrails, routing, invocation, output guardrails and reporting on one request path</t>
        </is>
      </c>
    </row>
    <row r="153">
      <c r="A153" s="25" t="inlineStr">
        <is>
          <t>WI-038</t>
        </is>
      </c>
      <c r="B153" s="26" t="inlineStr">
        <is>
          <t>M3</t>
        </is>
      </c>
      <c r="C153" s="26" t="inlineStr">
        <is>
          <t>Phase 3</t>
        </is>
      </c>
      <c r="D153" s="27" t="inlineStr">
        <is>
          <t>Governance</t>
        </is>
      </c>
      <c r="E153" s="26" t="inlineStr">
        <is>
          <t>S</t>
        </is>
      </c>
      <c r="F153" s="26" t="inlineStr">
        <is>
          <t>AIG</t>
        </is>
      </c>
      <c r="G153" s="23">
        <f>'Work items'!H43</f>
        <v/>
      </c>
      <c r="H153" s="14">
        <f>'Work items'!G43*'Work items'!H43</f>
        <v/>
      </c>
      <c r="I153" s="14">
        <f>'Work items'!M43</f>
        <v/>
      </c>
      <c r="J153" s="27" t="inlineStr">
        <is>
          <t>Content-exposure documentation for the gateway mode published, separating operational ownership from data exposure</t>
        </is>
      </c>
    </row>
    <row r="154">
      <c r="A154" s="25" t="inlineStr">
        <is>
          <t>WI-038</t>
        </is>
      </c>
      <c r="B154" s="26" t="inlineStr">
        <is>
          <t>M3</t>
        </is>
      </c>
      <c r="C154" s="26" t="inlineStr">
        <is>
          <t>Phase 3</t>
        </is>
      </c>
      <c r="D154" s="27" t="inlineStr">
        <is>
          <t>Governance</t>
        </is>
      </c>
      <c r="E154" s="26" t="inlineStr">
        <is>
          <t>S</t>
        </is>
      </c>
      <c r="F154" s="26" t="inlineStr">
        <is>
          <t>OPS</t>
        </is>
      </c>
      <c r="G154" s="23">
        <f>'Work items'!I43</f>
        <v/>
      </c>
      <c r="H154" s="14">
        <f>'Work items'!G43*'Work items'!I43</f>
        <v/>
      </c>
      <c r="I154" s="14">
        <f>'Work items'!N43</f>
        <v/>
      </c>
      <c r="J154" s="27" t="inlineStr">
        <is>
          <t>Content-exposure documentation for the gateway mode published, separating operational ownership from data exposure</t>
        </is>
      </c>
    </row>
    <row r="155">
      <c r="A155" s="25" t="inlineStr">
        <is>
          <t>WI-038</t>
        </is>
      </c>
      <c r="B155" s="26" t="inlineStr">
        <is>
          <t>M3</t>
        </is>
      </c>
      <c r="C155" s="26" t="inlineStr">
        <is>
          <t>Phase 3</t>
        </is>
      </c>
      <c r="D155" s="27" t="inlineStr">
        <is>
          <t>Governance</t>
        </is>
      </c>
      <c r="E155" s="26" t="inlineStr">
        <is>
          <t>S</t>
        </is>
      </c>
      <c r="F155" s="26" t="inlineStr">
        <is>
          <t>SEC</t>
        </is>
      </c>
      <c r="G155" s="23">
        <f>'Work items'!J43</f>
        <v/>
      </c>
      <c r="H155" s="14">
        <f>'Work items'!G43*'Work items'!J43</f>
        <v/>
      </c>
      <c r="I155" s="14">
        <f>'Work items'!O43</f>
        <v/>
      </c>
      <c r="J155" s="27" t="inlineStr">
        <is>
          <t>Content-exposure documentation for the gateway mode published, separating operational ownership from data exposure</t>
        </is>
      </c>
    </row>
    <row r="156">
      <c r="A156" s="25" t="inlineStr">
        <is>
          <t>WI-038</t>
        </is>
      </c>
      <c r="B156" s="26" t="inlineStr">
        <is>
          <t>M3</t>
        </is>
      </c>
      <c r="C156" s="26" t="inlineStr">
        <is>
          <t>Phase 3</t>
        </is>
      </c>
      <c r="D156" s="27" t="inlineStr">
        <is>
          <t>Governance</t>
        </is>
      </c>
      <c r="E156" s="26" t="inlineStr">
        <is>
          <t>S</t>
        </is>
      </c>
      <c r="F156" s="26" t="inlineStr">
        <is>
          <t>CONS</t>
        </is>
      </c>
      <c r="G156" s="23">
        <f>'Work items'!K43</f>
        <v/>
      </c>
      <c r="H156" s="14">
        <f>'Work items'!G43*'Work items'!K43</f>
        <v/>
      </c>
      <c r="I156" s="14">
        <f>'Work items'!P43</f>
        <v/>
      </c>
      <c r="J156" s="27" t="inlineStr">
        <is>
          <t>Content-exposure documentation for the gateway mode published, separating operational ownership from data exposure</t>
        </is>
      </c>
    </row>
    <row r="157">
      <c r="A157" s="4" t="inlineStr">
        <is>
          <t>WI-039</t>
        </is>
      </c>
      <c r="B157" s="21" t="inlineStr">
        <is>
          <t>M3</t>
        </is>
      </c>
      <c r="C157" s="21" t="inlineStr">
        <is>
          <t>Phase 3</t>
        </is>
      </c>
      <c r="D157" s="16" t="inlineStr">
        <is>
          <t>Contract</t>
        </is>
      </c>
      <c r="E157" s="21" t="inlineStr">
        <is>
          <t>S</t>
        </is>
      </c>
      <c r="F157" s="21" t="inlineStr">
        <is>
          <t>AIG</t>
        </is>
      </c>
      <c r="G157" s="23">
        <f>'Work items'!H44</f>
        <v/>
      </c>
      <c r="H157" s="14">
        <f>'Work items'!G44*'Work items'!H44</f>
        <v/>
      </c>
      <c r="I157" s="14">
        <f>'Work items'!M44</f>
        <v/>
      </c>
      <c r="J157" s="16" t="inlineStr">
        <is>
          <t>The evaluation contract, decision structure, reason codes and policy-version semantics verified unchanged for gateway traffic</t>
        </is>
      </c>
    </row>
    <row r="158">
      <c r="A158" s="4" t="inlineStr">
        <is>
          <t>WI-039</t>
        </is>
      </c>
      <c r="B158" s="21" t="inlineStr">
        <is>
          <t>M3</t>
        </is>
      </c>
      <c r="C158" s="21" t="inlineStr">
        <is>
          <t>Phase 3</t>
        </is>
      </c>
      <c r="D158" s="16" t="inlineStr">
        <is>
          <t>Contract</t>
        </is>
      </c>
      <c r="E158" s="21" t="inlineStr">
        <is>
          <t>S</t>
        </is>
      </c>
      <c r="F158" s="21" t="inlineStr">
        <is>
          <t>OPS</t>
        </is>
      </c>
      <c r="G158" s="23">
        <f>'Work items'!I44</f>
        <v/>
      </c>
      <c r="H158" s="14">
        <f>'Work items'!G44*'Work items'!I44</f>
        <v/>
      </c>
      <c r="I158" s="14">
        <f>'Work items'!N44</f>
        <v/>
      </c>
      <c r="J158" s="16" t="inlineStr">
        <is>
          <t>The evaluation contract, decision structure, reason codes and policy-version semantics verified unchanged for gateway traffic</t>
        </is>
      </c>
    </row>
    <row r="159">
      <c r="A159" s="4" t="inlineStr">
        <is>
          <t>WI-039</t>
        </is>
      </c>
      <c r="B159" s="21" t="inlineStr">
        <is>
          <t>M3</t>
        </is>
      </c>
      <c r="C159" s="21" t="inlineStr">
        <is>
          <t>Phase 3</t>
        </is>
      </c>
      <c r="D159" s="16" t="inlineStr">
        <is>
          <t>Contract</t>
        </is>
      </c>
      <c r="E159" s="21" t="inlineStr">
        <is>
          <t>S</t>
        </is>
      </c>
      <c r="F159" s="21" t="inlineStr">
        <is>
          <t>SEC</t>
        </is>
      </c>
      <c r="G159" s="23">
        <f>'Work items'!J44</f>
        <v/>
      </c>
      <c r="H159" s="14">
        <f>'Work items'!G44*'Work items'!J44</f>
        <v/>
      </c>
      <c r="I159" s="14">
        <f>'Work items'!O44</f>
        <v/>
      </c>
      <c r="J159" s="16" t="inlineStr">
        <is>
          <t>The evaluation contract, decision structure, reason codes and policy-version semantics verified unchanged for gateway traffic</t>
        </is>
      </c>
    </row>
    <row r="160">
      <c r="A160" s="4" t="inlineStr">
        <is>
          <t>WI-039</t>
        </is>
      </c>
      <c r="B160" s="21" t="inlineStr">
        <is>
          <t>M3</t>
        </is>
      </c>
      <c r="C160" s="21" t="inlineStr">
        <is>
          <t>Phase 3</t>
        </is>
      </c>
      <c r="D160" s="16" t="inlineStr">
        <is>
          <t>Contract</t>
        </is>
      </c>
      <c r="E160" s="21" t="inlineStr">
        <is>
          <t>S</t>
        </is>
      </c>
      <c r="F160" s="21" t="inlineStr">
        <is>
          <t>CONS</t>
        </is>
      </c>
      <c r="G160" s="23">
        <f>'Work items'!K44</f>
        <v/>
      </c>
      <c r="H160" s="14">
        <f>'Work items'!G44*'Work items'!K44</f>
        <v/>
      </c>
      <c r="I160" s="14">
        <f>'Work items'!P44</f>
        <v/>
      </c>
      <c r="J160" s="16" t="inlineStr">
        <is>
          <t>The evaluation contract, decision structure, reason codes and policy-version semantics verified unchanged for gateway traffic</t>
        </is>
      </c>
    </row>
    <row r="161">
      <c r="A161" s="25" t="inlineStr">
        <is>
          <t>WI-040</t>
        </is>
      </c>
      <c r="B161" s="26" t="inlineStr">
        <is>
          <t>M4</t>
        </is>
      </c>
      <c r="C161" s="26" t="inlineStr">
        <is>
          <t>Phase 4</t>
        </is>
      </c>
      <c r="D161" s="27" t="inlineStr">
        <is>
          <t>Packaging</t>
        </is>
      </c>
      <c r="E161" s="26" t="inlineStr">
        <is>
          <t>M</t>
        </is>
      </c>
      <c r="F161" s="26" t="inlineStr">
        <is>
          <t>AIG</t>
        </is>
      </c>
      <c r="G161" s="23">
        <f>'Work items'!H45</f>
        <v/>
      </c>
      <c r="H161" s="14">
        <f>'Work items'!G45*'Work items'!H45</f>
        <v/>
      </c>
      <c r="I161" s="14">
        <f>'Work items'!M45</f>
        <v/>
      </c>
      <c r="J161" s="27" t="inlineStr">
        <is>
          <t>Runtime container image published as a supported deployment artifact</t>
        </is>
      </c>
    </row>
    <row r="162">
      <c r="A162" s="25" t="inlineStr">
        <is>
          <t>WI-040</t>
        </is>
      </c>
      <c r="B162" s="26" t="inlineStr">
        <is>
          <t>M4</t>
        </is>
      </c>
      <c r="C162" s="26" t="inlineStr">
        <is>
          <t>Phase 4</t>
        </is>
      </c>
      <c r="D162" s="27" t="inlineStr">
        <is>
          <t>Packaging</t>
        </is>
      </c>
      <c r="E162" s="26" t="inlineStr">
        <is>
          <t>M</t>
        </is>
      </c>
      <c r="F162" s="26" t="inlineStr">
        <is>
          <t>OPS</t>
        </is>
      </c>
      <c r="G162" s="23">
        <f>'Work items'!I45</f>
        <v/>
      </c>
      <c r="H162" s="14">
        <f>'Work items'!G45*'Work items'!I45</f>
        <v/>
      </c>
      <c r="I162" s="14">
        <f>'Work items'!N45</f>
        <v/>
      </c>
      <c r="J162" s="27" t="inlineStr">
        <is>
          <t>Runtime container image published as a supported deployment artifact</t>
        </is>
      </c>
    </row>
    <row r="163">
      <c r="A163" s="25" t="inlineStr">
        <is>
          <t>WI-040</t>
        </is>
      </c>
      <c r="B163" s="26" t="inlineStr">
        <is>
          <t>M4</t>
        </is>
      </c>
      <c r="C163" s="26" t="inlineStr">
        <is>
          <t>Phase 4</t>
        </is>
      </c>
      <c r="D163" s="27" t="inlineStr">
        <is>
          <t>Packaging</t>
        </is>
      </c>
      <c r="E163" s="26" t="inlineStr">
        <is>
          <t>M</t>
        </is>
      </c>
      <c r="F163" s="26" t="inlineStr">
        <is>
          <t>SEC</t>
        </is>
      </c>
      <c r="G163" s="23">
        <f>'Work items'!J45</f>
        <v/>
      </c>
      <c r="H163" s="14">
        <f>'Work items'!G45*'Work items'!J45</f>
        <v/>
      </c>
      <c r="I163" s="14">
        <f>'Work items'!O45</f>
        <v/>
      </c>
      <c r="J163" s="27" t="inlineStr">
        <is>
          <t>Runtime container image published as a supported deployment artifact</t>
        </is>
      </c>
    </row>
    <row r="164">
      <c r="A164" s="25" t="inlineStr">
        <is>
          <t>WI-040</t>
        </is>
      </c>
      <c r="B164" s="26" t="inlineStr">
        <is>
          <t>M4</t>
        </is>
      </c>
      <c r="C164" s="26" t="inlineStr">
        <is>
          <t>Phase 4</t>
        </is>
      </c>
      <c r="D164" s="27" t="inlineStr">
        <is>
          <t>Packaging</t>
        </is>
      </c>
      <c r="E164" s="26" t="inlineStr">
        <is>
          <t>M</t>
        </is>
      </c>
      <c r="F164" s="26" t="inlineStr">
        <is>
          <t>CONS</t>
        </is>
      </c>
      <c r="G164" s="23">
        <f>'Work items'!K45</f>
        <v/>
      </c>
      <c r="H164" s="14">
        <f>'Work items'!G45*'Work items'!K45</f>
        <v/>
      </c>
      <c r="I164" s="14">
        <f>'Work items'!P45</f>
        <v/>
      </c>
      <c r="J164" s="27" t="inlineStr">
        <is>
          <t>Runtime container image published as a supported deployment artifact</t>
        </is>
      </c>
    </row>
    <row r="165">
      <c r="A165" s="4" t="inlineStr">
        <is>
          <t>WI-041</t>
        </is>
      </c>
      <c r="B165" s="21" t="inlineStr">
        <is>
          <t>M4</t>
        </is>
      </c>
      <c r="C165" s="21" t="inlineStr">
        <is>
          <t>Phase 4</t>
        </is>
      </c>
      <c r="D165" s="16" t="inlineStr">
        <is>
          <t>Packaging</t>
        </is>
      </c>
      <c r="E165" s="21" t="inlineStr">
        <is>
          <t>M</t>
        </is>
      </c>
      <c r="F165" s="21" t="inlineStr">
        <is>
          <t>AIG</t>
        </is>
      </c>
      <c r="G165" s="23">
        <f>'Work items'!H46</f>
        <v/>
      </c>
      <c r="H165" s="14">
        <f>'Work items'!G46*'Work items'!H46</f>
        <v/>
      </c>
      <c r="I165" s="14">
        <f>'Work items'!M46</f>
        <v/>
      </c>
      <c r="J165" s="16" t="inlineStr">
        <is>
          <t>Helm chart published for Kubernetes-based customer deployment</t>
        </is>
      </c>
    </row>
    <row r="166">
      <c r="A166" s="4" t="inlineStr">
        <is>
          <t>WI-041</t>
        </is>
      </c>
      <c r="B166" s="21" t="inlineStr">
        <is>
          <t>M4</t>
        </is>
      </c>
      <c r="C166" s="21" t="inlineStr">
        <is>
          <t>Phase 4</t>
        </is>
      </c>
      <c r="D166" s="16" t="inlineStr">
        <is>
          <t>Packaging</t>
        </is>
      </c>
      <c r="E166" s="21" t="inlineStr">
        <is>
          <t>M</t>
        </is>
      </c>
      <c r="F166" s="21" t="inlineStr">
        <is>
          <t>OPS</t>
        </is>
      </c>
      <c r="G166" s="23">
        <f>'Work items'!I46</f>
        <v/>
      </c>
      <c r="H166" s="14">
        <f>'Work items'!G46*'Work items'!I46</f>
        <v/>
      </c>
      <c r="I166" s="14">
        <f>'Work items'!N46</f>
        <v/>
      </c>
      <c r="J166" s="16" t="inlineStr">
        <is>
          <t>Helm chart published for Kubernetes-based customer deployment</t>
        </is>
      </c>
    </row>
    <row r="167">
      <c r="A167" s="4" t="inlineStr">
        <is>
          <t>WI-041</t>
        </is>
      </c>
      <c r="B167" s="21" t="inlineStr">
        <is>
          <t>M4</t>
        </is>
      </c>
      <c r="C167" s="21" t="inlineStr">
        <is>
          <t>Phase 4</t>
        </is>
      </c>
      <c r="D167" s="16" t="inlineStr">
        <is>
          <t>Packaging</t>
        </is>
      </c>
      <c r="E167" s="21" t="inlineStr">
        <is>
          <t>M</t>
        </is>
      </c>
      <c r="F167" s="21" t="inlineStr">
        <is>
          <t>SEC</t>
        </is>
      </c>
      <c r="G167" s="23">
        <f>'Work items'!J46</f>
        <v/>
      </c>
      <c r="H167" s="14">
        <f>'Work items'!G46*'Work items'!J46</f>
        <v/>
      </c>
      <c r="I167" s="14">
        <f>'Work items'!O46</f>
        <v/>
      </c>
      <c r="J167" s="16" t="inlineStr">
        <is>
          <t>Helm chart published for Kubernetes-based customer deployment</t>
        </is>
      </c>
    </row>
    <row r="168">
      <c r="A168" s="4" t="inlineStr">
        <is>
          <t>WI-041</t>
        </is>
      </c>
      <c r="B168" s="21" t="inlineStr">
        <is>
          <t>M4</t>
        </is>
      </c>
      <c r="C168" s="21" t="inlineStr">
        <is>
          <t>Phase 4</t>
        </is>
      </c>
      <c r="D168" s="16" t="inlineStr">
        <is>
          <t>Packaging</t>
        </is>
      </c>
      <c r="E168" s="21" t="inlineStr">
        <is>
          <t>M</t>
        </is>
      </c>
      <c r="F168" s="21" t="inlineStr">
        <is>
          <t>CONS</t>
        </is>
      </c>
      <c r="G168" s="23">
        <f>'Work items'!K46</f>
        <v/>
      </c>
      <c r="H168" s="14">
        <f>'Work items'!G46*'Work items'!K46</f>
        <v/>
      </c>
      <c r="I168" s="14">
        <f>'Work items'!P46</f>
        <v/>
      </c>
      <c r="J168" s="16" t="inlineStr">
        <is>
          <t>Helm chart published for Kubernetes-based customer deployment</t>
        </is>
      </c>
    </row>
    <row r="169">
      <c r="A169" s="25" t="inlineStr">
        <is>
          <t>WI-042</t>
        </is>
      </c>
      <c r="B169" s="26" t="inlineStr">
        <is>
          <t>M4</t>
        </is>
      </c>
      <c r="C169" s="26" t="inlineStr">
        <is>
          <t>Phase 4</t>
        </is>
      </c>
      <c r="D169" s="27" t="inlineStr">
        <is>
          <t>Packaging</t>
        </is>
      </c>
      <c r="E169" s="26" t="inlineStr">
        <is>
          <t>M</t>
        </is>
      </c>
      <c r="F169" s="26" t="inlineStr">
        <is>
          <t>AIG</t>
        </is>
      </c>
      <c r="G169" s="23">
        <f>'Work items'!H47</f>
        <v/>
      </c>
      <c r="H169" s="14">
        <f>'Work items'!G47*'Work items'!H47</f>
        <v/>
      </c>
      <c r="I169" s="14">
        <f>'Work items'!M47</f>
        <v/>
      </c>
      <c r="J169" s="27" t="inlineStr">
        <is>
          <t>ECS deployment template published</t>
        </is>
      </c>
    </row>
    <row r="170">
      <c r="A170" s="25" t="inlineStr">
        <is>
          <t>WI-042</t>
        </is>
      </c>
      <c r="B170" s="26" t="inlineStr">
        <is>
          <t>M4</t>
        </is>
      </c>
      <c r="C170" s="26" t="inlineStr">
        <is>
          <t>Phase 4</t>
        </is>
      </c>
      <c r="D170" s="27" t="inlineStr">
        <is>
          <t>Packaging</t>
        </is>
      </c>
      <c r="E170" s="26" t="inlineStr">
        <is>
          <t>M</t>
        </is>
      </c>
      <c r="F170" s="26" t="inlineStr">
        <is>
          <t>OPS</t>
        </is>
      </c>
      <c r="G170" s="23">
        <f>'Work items'!I47</f>
        <v/>
      </c>
      <c r="H170" s="14">
        <f>'Work items'!G47*'Work items'!I47</f>
        <v/>
      </c>
      <c r="I170" s="14">
        <f>'Work items'!N47</f>
        <v/>
      </c>
      <c r="J170" s="27" t="inlineStr">
        <is>
          <t>ECS deployment template published</t>
        </is>
      </c>
    </row>
    <row r="171">
      <c r="A171" s="25" t="inlineStr">
        <is>
          <t>WI-042</t>
        </is>
      </c>
      <c r="B171" s="26" t="inlineStr">
        <is>
          <t>M4</t>
        </is>
      </c>
      <c r="C171" s="26" t="inlineStr">
        <is>
          <t>Phase 4</t>
        </is>
      </c>
      <c r="D171" s="27" t="inlineStr">
        <is>
          <t>Packaging</t>
        </is>
      </c>
      <c r="E171" s="26" t="inlineStr">
        <is>
          <t>M</t>
        </is>
      </c>
      <c r="F171" s="26" t="inlineStr">
        <is>
          <t>SEC</t>
        </is>
      </c>
      <c r="G171" s="23">
        <f>'Work items'!J47</f>
        <v/>
      </c>
      <c r="H171" s="14">
        <f>'Work items'!G47*'Work items'!J47</f>
        <v/>
      </c>
      <c r="I171" s="14">
        <f>'Work items'!O47</f>
        <v/>
      </c>
      <c r="J171" s="27" t="inlineStr">
        <is>
          <t>ECS deployment template published</t>
        </is>
      </c>
    </row>
    <row r="172">
      <c r="A172" s="25" t="inlineStr">
        <is>
          <t>WI-042</t>
        </is>
      </c>
      <c r="B172" s="26" t="inlineStr">
        <is>
          <t>M4</t>
        </is>
      </c>
      <c r="C172" s="26" t="inlineStr">
        <is>
          <t>Phase 4</t>
        </is>
      </c>
      <c r="D172" s="27" t="inlineStr">
        <is>
          <t>Packaging</t>
        </is>
      </c>
      <c r="E172" s="26" t="inlineStr">
        <is>
          <t>M</t>
        </is>
      </c>
      <c r="F172" s="26" t="inlineStr">
        <is>
          <t>CONS</t>
        </is>
      </c>
      <c r="G172" s="23">
        <f>'Work items'!K47</f>
        <v/>
      </c>
      <c r="H172" s="14">
        <f>'Work items'!G47*'Work items'!K47</f>
        <v/>
      </c>
      <c r="I172" s="14">
        <f>'Work items'!P47</f>
        <v/>
      </c>
      <c r="J172" s="27" t="inlineStr">
        <is>
          <t>ECS deployment template published</t>
        </is>
      </c>
    </row>
    <row r="173">
      <c r="A173" s="4" t="inlineStr">
        <is>
          <t>WI-043</t>
        </is>
      </c>
      <c r="B173" s="21" t="inlineStr">
        <is>
          <t>M4</t>
        </is>
      </c>
      <c r="C173" s="21" t="inlineStr">
        <is>
          <t>Phase 4</t>
        </is>
      </c>
      <c r="D173" s="16" t="inlineStr">
        <is>
          <t>Packaging</t>
        </is>
      </c>
      <c r="E173" s="21" t="inlineStr">
        <is>
          <t>L</t>
        </is>
      </c>
      <c r="F173" s="21" t="inlineStr">
        <is>
          <t>AIG</t>
        </is>
      </c>
      <c r="G173" s="23">
        <f>'Work items'!H48</f>
        <v/>
      </c>
      <c r="H173" s="14">
        <f>'Work items'!G48*'Work items'!H48</f>
        <v/>
      </c>
      <c r="I173" s="14">
        <f>'Work items'!M48</f>
        <v/>
      </c>
      <c r="J173" s="16" t="inlineStr">
        <is>
          <t>Infrastructure module published for provisioning the customer-managed runtime</t>
        </is>
      </c>
    </row>
    <row r="174">
      <c r="A174" s="4" t="inlineStr">
        <is>
          <t>WI-043</t>
        </is>
      </c>
      <c r="B174" s="21" t="inlineStr">
        <is>
          <t>M4</t>
        </is>
      </c>
      <c r="C174" s="21" t="inlineStr">
        <is>
          <t>Phase 4</t>
        </is>
      </c>
      <c r="D174" s="16" t="inlineStr">
        <is>
          <t>Packaging</t>
        </is>
      </c>
      <c r="E174" s="21" t="inlineStr">
        <is>
          <t>L</t>
        </is>
      </c>
      <c r="F174" s="21" t="inlineStr">
        <is>
          <t>OPS</t>
        </is>
      </c>
      <c r="G174" s="23">
        <f>'Work items'!I48</f>
        <v/>
      </c>
      <c r="H174" s="14">
        <f>'Work items'!G48*'Work items'!I48</f>
        <v/>
      </c>
      <c r="I174" s="14">
        <f>'Work items'!N48</f>
        <v/>
      </c>
      <c r="J174" s="16" t="inlineStr">
        <is>
          <t>Infrastructure module published for provisioning the customer-managed runtime</t>
        </is>
      </c>
    </row>
    <row r="175">
      <c r="A175" s="4" t="inlineStr">
        <is>
          <t>WI-043</t>
        </is>
      </c>
      <c r="B175" s="21" t="inlineStr">
        <is>
          <t>M4</t>
        </is>
      </c>
      <c r="C175" s="21" t="inlineStr">
        <is>
          <t>Phase 4</t>
        </is>
      </c>
      <c r="D175" s="16" t="inlineStr">
        <is>
          <t>Packaging</t>
        </is>
      </c>
      <c r="E175" s="21" t="inlineStr">
        <is>
          <t>L</t>
        </is>
      </c>
      <c r="F175" s="21" t="inlineStr">
        <is>
          <t>SEC</t>
        </is>
      </c>
      <c r="G175" s="23">
        <f>'Work items'!J48</f>
        <v/>
      </c>
      <c r="H175" s="14">
        <f>'Work items'!G48*'Work items'!J48</f>
        <v/>
      </c>
      <c r="I175" s="14">
        <f>'Work items'!O48</f>
        <v/>
      </c>
      <c r="J175" s="16" t="inlineStr">
        <is>
          <t>Infrastructure module published for provisioning the customer-managed runtime</t>
        </is>
      </c>
    </row>
    <row r="176">
      <c r="A176" s="4" t="inlineStr">
        <is>
          <t>WI-043</t>
        </is>
      </c>
      <c r="B176" s="21" t="inlineStr">
        <is>
          <t>M4</t>
        </is>
      </c>
      <c r="C176" s="21" t="inlineStr">
        <is>
          <t>Phase 4</t>
        </is>
      </c>
      <c r="D176" s="16" t="inlineStr">
        <is>
          <t>Packaging</t>
        </is>
      </c>
      <c r="E176" s="21" t="inlineStr">
        <is>
          <t>L</t>
        </is>
      </c>
      <c r="F176" s="21" t="inlineStr">
        <is>
          <t>CONS</t>
        </is>
      </c>
      <c r="G176" s="23">
        <f>'Work items'!K48</f>
        <v/>
      </c>
      <c r="H176" s="14">
        <f>'Work items'!G48*'Work items'!K48</f>
        <v/>
      </c>
      <c r="I176" s="14">
        <f>'Work items'!P48</f>
        <v/>
      </c>
      <c r="J176" s="16" t="inlineStr">
        <is>
          <t>Infrastructure module published for provisioning the customer-managed runtime</t>
        </is>
      </c>
    </row>
    <row r="177">
      <c r="A177" s="25" t="inlineStr">
        <is>
          <t>WI-044</t>
        </is>
      </c>
      <c r="B177" s="26" t="inlineStr">
        <is>
          <t>M4</t>
        </is>
      </c>
      <c r="C177" s="26" t="inlineStr">
        <is>
          <t>Phase 4</t>
        </is>
      </c>
      <c r="D177" s="27" t="inlineStr">
        <is>
          <t>Runtime</t>
        </is>
      </c>
      <c r="E177" s="26" t="inlineStr">
        <is>
          <t>L</t>
        </is>
      </c>
      <c r="F177" s="26" t="inlineStr">
        <is>
          <t>AIG</t>
        </is>
      </c>
      <c r="G177" s="23">
        <f>'Work items'!H49</f>
        <v/>
      </c>
      <c r="H177" s="14">
        <f>'Work items'!G49*'Work items'!H49</f>
        <v/>
      </c>
      <c r="I177" s="14">
        <f>'Work items'!M49</f>
        <v/>
      </c>
      <c r="J177" s="27" t="inlineStr">
        <is>
          <t>Local policy cache enabling execution without a synchronous control-plane connection</t>
        </is>
      </c>
    </row>
    <row r="178">
      <c r="A178" s="25" t="inlineStr">
        <is>
          <t>WI-044</t>
        </is>
      </c>
      <c r="B178" s="26" t="inlineStr">
        <is>
          <t>M4</t>
        </is>
      </c>
      <c r="C178" s="26" t="inlineStr">
        <is>
          <t>Phase 4</t>
        </is>
      </c>
      <c r="D178" s="27" t="inlineStr">
        <is>
          <t>Runtime</t>
        </is>
      </c>
      <c r="E178" s="26" t="inlineStr">
        <is>
          <t>L</t>
        </is>
      </c>
      <c r="F178" s="26" t="inlineStr">
        <is>
          <t>OPS</t>
        </is>
      </c>
      <c r="G178" s="23">
        <f>'Work items'!I49</f>
        <v/>
      </c>
      <c r="H178" s="14">
        <f>'Work items'!G49*'Work items'!I49</f>
        <v/>
      </c>
      <c r="I178" s="14">
        <f>'Work items'!N49</f>
        <v/>
      </c>
      <c r="J178" s="27" t="inlineStr">
        <is>
          <t>Local policy cache enabling execution without a synchronous control-plane connection</t>
        </is>
      </c>
    </row>
    <row r="179">
      <c r="A179" s="25" t="inlineStr">
        <is>
          <t>WI-044</t>
        </is>
      </c>
      <c r="B179" s="26" t="inlineStr">
        <is>
          <t>M4</t>
        </is>
      </c>
      <c r="C179" s="26" t="inlineStr">
        <is>
          <t>Phase 4</t>
        </is>
      </c>
      <c r="D179" s="27" t="inlineStr">
        <is>
          <t>Runtime</t>
        </is>
      </c>
      <c r="E179" s="26" t="inlineStr">
        <is>
          <t>L</t>
        </is>
      </c>
      <c r="F179" s="26" t="inlineStr">
        <is>
          <t>SEC</t>
        </is>
      </c>
      <c r="G179" s="23">
        <f>'Work items'!J49</f>
        <v/>
      </c>
      <c r="H179" s="14">
        <f>'Work items'!G49*'Work items'!J49</f>
        <v/>
      </c>
      <c r="I179" s="14">
        <f>'Work items'!O49</f>
        <v/>
      </c>
      <c r="J179" s="27" t="inlineStr">
        <is>
          <t>Local policy cache enabling execution without a synchronous control-plane connection</t>
        </is>
      </c>
    </row>
    <row r="180">
      <c r="A180" s="25" t="inlineStr">
        <is>
          <t>WI-044</t>
        </is>
      </c>
      <c r="B180" s="26" t="inlineStr">
        <is>
          <t>M4</t>
        </is>
      </c>
      <c r="C180" s="26" t="inlineStr">
        <is>
          <t>Phase 4</t>
        </is>
      </c>
      <c r="D180" s="27" t="inlineStr">
        <is>
          <t>Runtime</t>
        </is>
      </c>
      <c r="E180" s="26" t="inlineStr">
        <is>
          <t>L</t>
        </is>
      </c>
      <c r="F180" s="26" t="inlineStr">
        <is>
          <t>CONS</t>
        </is>
      </c>
      <c r="G180" s="23">
        <f>'Work items'!K49</f>
        <v/>
      </c>
      <c r="H180" s="14">
        <f>'Work items'!G49*'Work items'!K49</f>
        <v/>
      </c>
      <c r="I180" s="14">
        <f>'Work items'!P49</f>
        <v/>
      </c>
      <c r="J180" s="27" t="inlineStr">
        <is>
          <t>Local policy cache enabling execution without a synchronous control-plane connection</t>
        </is>
      </c>
    </row>
    <row r="181">
      <c r="A181" s="4" t="inlineStr">
        <is>
          <t>WI-045</t>
        </is>
      </c>
      <c r="B181" s="21" t="inlineStr">
        <is>
          <t>M4</t>
        </is>
      </c>
      <c r="C181" s="21" t="inlineStr">
        <is>
          <t>Phase 4</t>
        </is>
      </c>
      <c r="D181" s="16" t="inlineStr">
        <is>
          <t>Runtime</t>
        </is>
      </c>
      <c r="E181" s="21" t="inlineStr">
        <is>
          <t>L</t>
        </is>
      </c>
      <c r="F181" s="21" t="inlineStr">
        <is>
          <t>AIG</t>
        </is>
      </c>
      <c r="G181" s="23">
        <f>'Work items'!H50</f>
        <v/>
      </c>
      <c r="H181" s="14">
        <f>'Work items'!G50*'Work items'!H50</f>
        <v/>
      </c>
      <c r="I181" s="14">
        <f>'Work items'!M50</f>
        <v/>
      </c>
      <c r="J181" s="16" t="inlineStr">
        <is>
          <t>Policy synchronization implemented as an asynchronous process that never blocks the evaluation path</t>
        </is>
      </c>
    </row>
    <row r="182">
      <c r="A182" s="4" t="inlineStr">
        <is>
          <t>WI-045</t>
        </is>
      </c>
      <c r="B182" s="21" t="inlineStr">
        <is>
          <t>M4</t>
        </is>
      </c>
      <c r="C182" s="21" t="inlineStr">
        <is>
          <t>Phase 4</t>
        </is>
      </c>
      <c r="D182" s="16" t="inlineStr">
        <is>
          <t>Runtime</t>
        </is>
      </c>
      <c r="E182" s="21" t="inlineStr">
        <is>
          <t>L</t>
        </is>
      </c>
      <c r="F182" s="21" t="inlineStr">
        <is>
          <t>OPS</t>
        </is>
      </c>
      <c r="G182" s="23">
        <f>'Work items'!I50</f>
        <v/>
      </c>
      <c r="H182" s="14">
        <f>'Work items'!G50*'Work items'!I50</f>
        <v/>
      </c>
      <c r="I182" s="14">
        <f>'Work items'!N50</f>
        <v/>
      </c>
      <c r="J182" s="16" t="inlineStr">
        <is>
          <t>Policy synchronization implemented as an asynchronous process that never blocks the evaluation path</t>
        </is>
      </c>
    </row>
    <row r="183">
      <c r="A183" s="4" t="inlineStr">
        <is>
          <t>WI-045</t>
        </is>
      </c>
      <c r="B183" s="21" t="inlineStr">
        <is>
          <t>M4</t>
        </is>
      </c>
      <c r="C183" s="21" t="inlineStr">
        <is>
          <t>Phase 4</t>
        </is>
      </c>
      <c r="D183" s="16" t="inlineStr">
        <is>
          <t>Runtime</t>
        </is>
      </c>
      <c r="E183" s="21" t="inlineStr">
        <is>
          <t>L</t>
        </is>
      </c>
      <c r="F183" s="21" t="inlineStr">
        <is>
          <t>SEC</t>
        </is>
      </c>
      <c r="G183" s="23">
        <f>'Work items'!J50</f>
        <v/>
      </c>
      <c r="H183" s="14">
        <f>'Work items'!G50*'Work items'!J50</f>
        <v/>
      </c>
      <c r="I183" s="14">
        <f>'Work items'!O50</f>
        <v/>
      </c>
      <c r="J183" s="16" t="inlineStr">
        <is>
          <t>Policy synchronization implemented as an asynchronous process that never blocks the evaluation path</t>
        </is>
      </c>
    </row>
    <row r="184">
      <c r="A184" s="4" t="inlineStr">
        <is>
          <t>WI-045</t>
        </is>
      </c>
      <c r="B184" s="21" t="inlineStr">
        <is>
          <t>M4</t>
        </is>
      </c>
      <c r="C184" s="21" t="inlineStr">
        <is>
          <t>Phase 4</t>
        </is>
      </c>
      <c r="D184" s="16" t="inlineStr">
        <is>
          <t>Runtime</t>
        </is>
      </c>
      <c r="E184" s="21" t="inlineStr">
        <is>
          <t>L</t>
        </is>
      </c>
      <c r="F184" s="21" t="inlineStr">
        <is>
          <t>CONS</t>
        </is>
      </c>
      <c r="G184" s="23">
        <f>'Work items'!K50</f>
        <v/>
      </c>
      <c r="H184" s="14">
        <f>'Work items'!G50*'Work items'!K50</f>
        <v/>
      </c>
      <c r="I184" s="14">
        <f>'Work items'!P50</f>
        <v/>
      </c>
      <c r="J184" s="16" t="inlineStr">
        <is>
          <t>Policy synchronization implemented as an asynchronous process that never blocks the evaluation path</t>
        </is>
      </c>
    </row>
    <row r="185">
      <c r="A185" s="25" t="inlineStr">
        <is>
          <t>WI-046</t>
        </is>
      </c>
      <c r="B185" s="26" t="inlineStr">
        <is>
          <t>M4</t>
        </is>
      </c>
      <c r="C185" s="26" t="inlineStr">
        <is>
          <t>Phase 4</t>
        </is>
      </c>
      <c r="D185" s="27" t="inlineStr">
        <is>
          <t>Runtime</t>
        </is>
      </c>
      <c r="E185" s="26" t="inlineStr">
        <is>
          <t>M</t>
        </is>
      </c>
      <c r="F185" s="26" t="inlineStr">
        <is>
          <t>AIG</t>
        </is>
      </c>
      <c r="G185" s="23">
        <f>'Work items'!H51</f>
        <v/>
      </c>
      <c r="H185" s="14">
        <f>'Work items'!G51*'Work items'!H51</f>
        <v/>
      </c>
      <c r="I185" s="14">
        <f>'Work items'!M51</f>
        <v/>
      </c>
      <c r="J185" s="27" t="inlineStr">
        <is>
          <t>Degraded-mode behavior for a stale local cache defined as an explicit part of the workload's failure behavior</t>
        </is>
      </c>
    </row>
    <row r="186">
      <c r="A186" s="25" t="inlineStr">
        <is>
          <t>WI-046</t>
        </is>
      </c>
      <c r="B186" s="26" t="inlineStr">
        <is>
          <t>M4</t>
        </is>
      </c>
      <c r="C186" s="26" t="inlineStr">
        <is>
          <t>Phase 4</t>
        </is>
      </c>
      <c r="D186" s="27" t="inlineStr">
        <is>
          <t>Runtime</t>
        </is>
      </c>
      <c r="E186" s="26" t="inlineStr">
        <is>
          <t>M</t>
        </is>
      </c>
      <c r="F186" s="26" t="inlineStr">
        <is>
          <t>OPS</t>
        </is>
      </c>
      <c r="G186" s="23">
        <f>'Work items'!I51</f>
        <v/>
      </c>
      <c r="H186" s="14">
        <f>'Work items'!G51*'Work items'!I51</f>
        <v/>
      </c>
      <c r="I186" s="14">
        <f>'Work items'!N51</f>
        <v/>
      </c>
      <c r="J186" s="27" t="inlineStr">
        <is>
          <t>Degraded-mode behavior for a stale local cache defined as an explicit part of the workload's failure behavior</t>
        </is>
      </c>
    </row>
    <row r="187">
      <c r="A187" s="25" t="inlineStr">
        <is>
          <t>WI-046</t>
        </is>
      </c>
      <c r="B187" s="26" t="inlineStr">
        <is>
          <t>M4</t>
        </is>
      </c>
      <c r="C187" s="26" t="inlineStr">
        <is>
          <t>Phase 4</t>
        </is>
      </c>
      <c r="D187" s="27" t="inlineStr">
        <is>
          <t>Runtime</t>
        </is>
      </c>
      <c r="E187" s="26" t="inlineStr">
        <is>
          <t>M</t>
        </is>
      </c>
      <c r="F187" s="26" t="inlineStr">
        <is>
          <t>SEC</t>
        </is>
      </c>
      <c r="G187" s="23">
        <f>'Work items'!J51</f>
        <v/>
      </c>
      <c r="H187" s="14">
        <f>'Work items'!G51*'Work items'!J51</f>
        <v/>
      </c>
      <c r="I187" s="14">
        <f>'Work items'!O51</f>
        <v/>
      </c>
      <c r="J187" s="27" t="inlineStr">
        <is>
          <t>Degraded-mode behavior for a stale local cache defined as an explicit part of the workload's failure behavior</t>
        </is>
      </c>
    </row>
    <row r="188">
      <c r="A188" s="25" t="inlineStr">
        <is>
          <t>WI-046</t>
        </is>
      </c>
      <c r="B188" s="26" t="inlineStr">
        <is>
          <t>M4</t>
        </is>
      </c>
      <c r="C188" s="26" t="inlineStr">
        <is>
          <t>Phase 4</t>
        </is>
      </c>
      <c r="D188" s="27" t="inlineStr">
        <is>
          <t>Runtime</t>
        </is>
      </c>
      <c r="E188" s="26" t="inlineStr">
        <is>
          <t>M</t>
        </is>
      </c>
      <c r="F188" s="26" t="inlineStr">
        <is>
          <t>CONS</t>
        </is>
      </c>
      <c r="G188" s="23">
        <f>'Work items'!K51</f>
        <v/>
      </c>
      <c r="H188" s="14">
        <f>'Work items'!G51*'Work items'!K51</f>
        <v/>
      </c>
      <c r="I188" s="14">
        <f>'Work items'!P51</f>
        <v/>
      </c>
      <c r="J188" s="27" t="inlineStr">
        <is>
          <t>Degraded-mode behavior for a stale local cache defined as an explicit part of the workload's failure behavior</t>
        </is>
      </c>
    </row>
    <row r="189">
      <c r="A189" s="4" t="inlineStr">
        <is>
          <t>WI-047</t>
        </is>
      </c>
      <c r="B189" s="21" t="inlineStr">
        <is>
          <t>M4</t>
        </is>
      </c>
      <c r="C189" s="21" t="inlineStr">
        <is>
          <t>Phase 4</t>
        </is>
      </c>
      <c r="D189" s="16" t="inlineStr">
        <is>
          <t>Runtime</t>
        </is>
      </c>
      <c r="E189" s="21" t="inlineStr">
        <is>
          <t>L</t>
        </is>
      </c>
      <c r="F189" s="21" t="inlineStr">
        <is>
          <t>AIG</t>
        </is>
      </c>
      <c r="G189" s="23">
        <f>'Work items'!H52</f>
        <v/>
      </c>
      <c r="H189" s="14">
        <f>'Work items'!G52*'Work items'!H52</f>
        <v/>
      </c>
      <c r="I189" s="14">
        <f>'Work items'!M52</f>
        <v/>
      </c>
      <c r="J189" s="16" t="inlineStr">
        <is>
          <t>Customer-controlled telemetry spanning the full range down to a fully supported no-telemetry configuration</t>
        </is>
      </c>
    </row>
    <row r="190">
      <c r="A190" s="4" t="inlineStr">
        <is>
          <t>WI-047</t>
        </is>
      </c>
      <c r="B190" s="21" t="inlineStr">
        <is>
          <t>M4</t>
        </is>
      </c>
      <c r="C190" s="21" t="inlineStr">
        <is>
          <t>Phase 4</t>
        </is>
      </c>
      <c r="D190" s="16" t="inlineStr">
        <is>
          <t>Runtime</t>
        </is>
      </c>
      <c r="E190" s="21" t="inlineStr">
        <is>
          <t>L</t>
        </is>
      </c>
      <c r="F190" s="21" t="inlineStr">
        <is>
          <t>OPS</t>
        </is>
      </c>
      <c r="G190" s="23">
        <f>'Work items'!I52</f>
        <v/>
      </c>
      <c r="H190" s="14">
        <f>'Work items'!G52*'Work items'!I52</f>
        <v/>
      </c>
      <c r="I190" s="14">
        <f>'Work items'!N52</f>
        <v/>
      </c>
      <c r="J190" s="16" t="inlineStr">
        <is>
          <t>Customer-controlled telemetry spanning the full range down to a fully supported no-telemetry configuration</t>
        </is>
      </c>
    </row>
    <row r="191">
      <c r="A191" s="4" t="inlineStr">
        <is>
          <t>WI-047</t>
        </is>
      </c>
      <c r="B191" s="21" t="inlineStr">
        <is>
          <t>M4</t>
        </is>
      </c>
      <c r="C191" s="21" t="inlineStr">
        <is>
          <t>Phase 4</t>
        </is>
      </c>
      <c r="D191" s="16" t="inlineStr">
        <is>
          <t>Runtime</t>
        </is>
      </c>
      <c r="E191" s="21" t="inlineStr">
        <is>
          <t>L</t>
        </is>
      </c>
      <c r="F191" s="21" t="inlineStr">
        <is>
          <t>SEC</t>
        </is>
      </c>
      <c r="G191" s="23">
        <f>'Work items'!J52</f>
        <v/>
      </c>
      <c r="H191" s="14">
        <f>'Work items'!G52*'Work items'!J52</f>
        <v/>
      </c>
      <c r="I191" s="14">
        <f>'Work items'!O52</f>
        <v/>
      </c>
      <c r="J191" s="16" t="inlineStr">
        <is>
          <t>Customer-controlled telemetry spanning the full range down to a fully supported no-telemetry configuration</t>
        </is>
      </c>
    </row>
    <row r="192">
      <c r="A192" s="4" t="inlineStr">
        <is>
          <t>WI-047</t>
        </is>
      </c>
      <c r="B192" s="21" t="inlineStr">
        <is>
          <t>M4</t>
        </is>
      </c>
      <c r="C192" s="21" t="inlineStr">
        <is>
          <t>Phase 4</t>
        </is>
      </c>
      <c r="D192" s="16" t="inlineStr">
        <is>
          <t>Runtime</t>
        </is>
      </c>
      <c r="E192" s="21" t="inlineStr">
        <is>
          <t>L</t>
        </is>
      </c>
      <c r="F192" s="21" t="inlineStr">
        <is>
          <t>CONS</t>
        </is>
      </c>
      <c r="G192" s="23">
        <f>'Work items'!K52</f>
        <v/>
      </c>
      <c r="H192" s="14">
        <f>'Work items'!G52*'Work items'!K52</f>
        <v/>
      </c>
      <c r="I192" s="14">
        <f>'Work items'!P52</f>
        <v/>
      </c>
      <c r="J192" s="16" t="inlineStr">
        <is>
          <t>Customer-controlled telemetry spanning the full range down to a fully supported no-telemetry configuration</t>
        </is>
      </c>
    </row>
    <row r="193">
      <c r="A193" s="25" t="inlineStr">
        <is>
          <t>WI-048</t>
        </is>
      </c>
      <c r="B193" s="26" t="inlineStr">
        <is>
          <t>M4</t>
        </is>
      </c>
      <c r="C193" s="26" t="inlineStr">
        <is>
          <t>Phase 4</t>
        </is>
      </c>
      <c r="D193" s="27" t="inlineStr">
        <is>
          <t>Validation</t>
        </is>
      </c>
      <c r="E193" s="26" t="inlineStr">
        <is>
          <t>M</t>
        </is>
      </c>
      <c r="F193" s="26" t="inlineStr">
        <is>
          <t>AIG</t>
        </is>
      </c>
      <c r="G193" s="23">
        <f>'Work items'!H53</f>
        <v/>
      </c>
      <c r="H193" s="14">
        <f>'Work items'!G53*'Work items'!H53</f>
        <v/>
      </c>
      <c r="I193" s="14">
        <f>'Work items'!M53</f>
        <v/>
      </c>
      <c r="J193" s="27" t="inlineStr">
        <is>
          <t>Raw content verified never to leave the customer-managed runtime unless the customer has explicitly configured that transmission</t>
        </is>
      </c>
    </row>
    <row r="194">
      <c r="A194" s="25" t="inlineStr">
        <is>
          <t>WI-048</t>
        </is>
      </c>
      <c r="B194" s="26" t="inlineStr">
        <is>
          <t>M4</t>
        </is>
      </c>
      <c r="C194" s="26" t="inlineStr">
        <is>
          <t>Phase 4</t>
        </is>
      </c>
      <c r="D194" s="27" t="inlineStr">
        <is>
          <t>Validation</t>
        </is>
      </c>
      <c r="E194" s="26" t="inlineStr">
        <is>
          <t>M</t>
        </is>
      </c>
      <c r="F194" s="26" t="inlineStr">
        <is>
          <t>OPS</t>
        </is>
      </c>
      <c r="G194" s="23">
        <f>'Work items'!I53</f>
        <v/>
      </c>
      <c r="H194" s="14">
        <f>'Work items'!G53*'Work items'!I53</f>
        <v/>
      </c>
      <c r="I194" s="14">
        <f>'Work items'!N53</f>
        <v/>
      </c>
      <c r="J194" s="27" t="inlineStr">
        <is>
          <t>Raw content verified never to leave the customer-managed runtime unless the customer has explicitly configured that transmission</t>
        </is>
      </c>
    </row>
    <row r="195">
      <c r="A195" s="25" t="inlineStr">
        <is>
          <t>WI-048</t>
        </is>
      </c>
      <c r="B195" s="26" t="inlineStr">
        <is>
          <t>M4</t>
        </is>
      </c>
      <c r="C195" s="26" t="inlineStr">
        <is>
          <t>Phase 4</t>
        </is>
      </c>
      <c r="D195" s="27" t="inlineStr">
        <is>
          <t>Validation</t>
        </is>
      </c>
      <c r="E195" s="26" t="inlineStr">
        <is>
          <t>M</t>
        </is>
      </c>
      <c r="F195" s="26" t="inlineStr">
        <is>
          <t>SEC</t>
        </is>
      </c>
      <c r="G195" s="23">
        <f>'Work items'!J53</f>
        <v/>
      </c>
      <c r="H195" s="14">
        <f>'Work items'!G53*'Work items'!J53</f>
        <v/>
      </c>
      <c r="I195" s="14">
        <f>'Work items'!O53</f>
        <v/>
      </c>
      <c r="J195" s="27" t="inlineStr">
        <is>
          <t>Raw content verified never to leave the customer-managed runtime unless the customer has explicitly configured that transmission</t>
        </is>
      </c>
    </row>
    <row r="196">
      <c r="A196" s="25" t="inlineStr">
        <is>
          <t>WI-048</t>
        </is>
      </c>
      <c r="B196" s="26" t="inlineStr">
        <is>
          <t>M4</t>
        </is>
      </c>
      <c r="C196" s="26" t="inlineStr">
        <is>
          <t>Phase 4</t>
        </is>
      </c>
      <c r="D196" s="27" t="inlineStr">
        <is>
          <t>Validation</t>
        </is>
      </c>
      <c r="E196" s="26" t="inlineStr">
        <is>
          <t>M</t>
        </is>
      </c>
      <c r="F196" s="26" t="inlineStr">
        <is>
          <t>CONS</t>
        </is>
      </c>
      <c r="G196" s="23">
        <f>'Work items'!K53</f>
        <v/>
      </c>
      <c r="H196" s="14">
        <f>'Work items'!G53*'Work items'!K53</f>
        <v/>
      </c>
      <c r="I196" s="14">
        <f>'Work items'!P53</f>
        <v/>
      </c>
      <c r="J196" s="27" t="inlineStr">
        <is>
          <t>Raw content verified never to leave the customer-managed runtime unless the customer has explicitly configured that transmission</t>
        </is>
      </c>
    </row>
    <row r="197">
      <c r="A197" s="4" t="inlineStr">
        <is>
          <t>WI-049</t>
        </is>
      </c>
      <c r="B197" s="21" t="inlineStr">
        <is>
          <t>M4</t>
        </is>
      </c>
      <c r="C197" s="21" t="inlineStr">
        <is>
          <t>Phase 4</t>
        </is>
      </c>
      <c r="D197" s="16" t="inlineStr">
        <is>
          <t>Control plane</t>
        </is>
      </c>
      <c r="E197" s="21" t="inlineStr">
        <is>
          <t>M</t>
        </is>
      </c>
      <c r="F197" s="21" t="inlineStr">
        <is>
          <t>AIG</t>
        </is>
      </c>
      <c r="G197" s="23">
        <f>'Work items'!H54</f>
        <v/>
      </c>
      <c r="H197" s="14">
        <f>'Work items'!G54*'Work items'!H54</f>
        <v/>
      </c>
      <c r="I197" s="14">
        <f>'Work items'!M54</f>
        <v/>
      </c>
      <c r="J197" s="16" t="inlineStr">
        <is>
          <t>Upgrade compatibility checks validating that a runtime upgrade stays compatible with the policy versions bound to that deployment</t>
        </is>
      </c>
    </row>
    <row r="198">
      <c r="A198" s="4" t="inlineStr">
        <is>
          <t>WI-049</t>
        </is>
      </c>
      <c r="B198" s="21" t="inlineStr">
        <is>
          <t>M4</t>
        </is>
      </c>
      <c r="C198" s="21" t="inlineStr">
        <is>
          <t>Phase 4</t>
        </is>
      </c>
      <c r="D198" s="16" t="inlineStr">
        <is>
          <t>Control plane</t>
        </is>
      </c>
      <c r="E198" s="21" t="inlineStr">
        <is>
          <t>M</t>
        </is>
      </c>
      <c r="F198" s="21" t="inlineStr">
        <is>
          <t>OPS</t>
        </is>
      </c>
      <c r="G198" s="23">
        <f>'Work items'!I54</f>
        <v/>
      </c>
      <c r="H198" s="14">
        <f>'Work items'!G54*'Work items'!I54</f>
        <v/>
      </c>
      <c r="I198" s="14">
        <f>'Work items'!N54</f>
        <v/>
      </c>
      <c r="J198" s="16" t="inlineStr">
        <is>
          <t>Upgrade compatibility checks validating that a runtime upgrade stays compatible with the policy versions bound to that deployment</t>
        </is>
      </c>
    </row>
    <row r="199">
      <c r="A199" s="4" t="inlineStr">
        <is>
          <t>WI-049</t>
        </is>
      </c>
      <c r="B199" s="21" t="inlineStr">
        <is>
          <t>M4</t>
        </is>
      </c>
      <c r="C199" s="21" t="inlineStr">
        <is>
          <t>Phase 4</t>
        </is>
      </c>
      <c r="D199" s="16" t="inlineStr">
        <is>
          <t>Control plane</t>
        </is>
      </c>
      <c r="E199" s="21" t="inlineStr">
        <is>
          <t>M</t>
        </is>
      </c>
      <c r="F199" s="21" t="inlineStr">
        <is>
          <t>SEC</t>
        </is>
      </c>
      <c r="G199" s="23">
        <f>'Work items'!J54</f>
        <v/>
      </c>
      <c r="H199" s="14">
        <f>'Work items'!G54*'Work items'!J54</f>
        <v/>
      </c>
      <c r="I199" s="14">
        <f>'Work items'!O54</f>
        <v/>
      </c>
      <c r="J199" s="16" t="inlineStr">
        <is>
          <t>Upgrade compatibility checks validating that a runtime upgrade stays compatible with the policy versions bound to that deployment</t>
        </is>
      </c>
    </row>
    <row r="200">
      <c r="A200" s="4" t="inlineStr">
        <is>
          <t>WI-049</t>
        </is>
      </c>
      <c r="B200" s="21" t="inlineStr">
        <is>
          <t>M4</t>
        </is>
      </c>
      <c r="C200" s="21" t="inlineStr">
        <is>
          <t>Phase 4</t>
        </is>
      </c>
      <c r="D200" s="16" t="inlineStr">
        <is>
          <t>Control plane</t>
        </is>
      </c>
      <c r="E200" s="21" t="inlineStr">
        <is>
          <t>M</t>
        </is>
      </c>
      <c r="F200" s="21" t="inlineStr">
        <is>
          <t>CONS</t>
        </is>
      </c>
      <c r="G200" s="23">
        <f>'Work items'!K54</f>
        <v/>
      </c>
      <c r="H200" s="14">
        <f>'Work items'!G54*'Work items'!K54</f>
        <v/>
      </c>
      <c r="I200" s="14">
        <f>'Work items'!P54</f>
        <v/>
      </c>
      <c r="J200" s="16" t="inlineStr">
        <is>
          <t>Upgrade compatibility checks validating that a runtime upgrade stays compatible with the policy versions bound to that deployment</t>
        </is>
      </c>
    </row>
    <row r="201">
      <c r="A201" s="25" t="inlineStr">
        <is>
          <t>WI-050</t>
        </is>
      </c>
      <c r="B201" s="26" t="inlineStr">
        <is>
          <t>M4</t>
        </is>
      </c>
      <c r="C201" s="26" t="inlineStr">
        <is>
          <t>Phase 4</t>
        </is>
      </c>
      <c r="D201" s="27" t="inlineStr">
        <is>
          <t>Validation</t>
        </is>
      </c>
      <c r="E201" s="26" t="inlineStr">
        <is>
          <t>L</t>
        </is>
      </c>
      <c r="F201" s="26" t="inlineStr">
        <is>
          <t>AIG</t>
        </is>
      </c>
      <c r="G201" s="23">
        <f>'Work items'!H55</f>
        <v/>
      </c>
      <c r="H201" s="14">
        <f>'Work items'!G55*'Work items'!H55</f>
        <v/>
      </c>
      <c r="I201" s="14">
        <f>'Work items'!M55</f>
        <v/>
      </c>
      <c r="J201" s="27" t="inlineStr">
        <is>
          <t>One customer-managed deployment validated end to end inside a customer-controlled account: local evaluation, cache behavior during a simulated outage, telemetry configuration, upgrade check</t>
        </is>
      </c>
    </row>
    <row r="202">
      <c r="A202" s="25" t="inlineStr">
        <is>
          <t>WI-050</t>
        </is>
      </c>
      <c r="B202" s="26" t="inlineStr">
        <is>
          <t>M4</t>
        </is>
      </c>
      <c r="C202" s="26" t="inlineStr">
        <is>
          <t>Phase 4</t>
        </is>
      </c>
      <c r="D202" s="27" t="inlineStr">
        <is>
          <t>Validation</t>
        </is>
      </c>
      <c r="E202" s="26" t="inlineStr">
        <is>
          <t>L</t>
        </is>
      </c>
      <c r="F202" s="26" t="inlineStr">
        <is>
          <t>OPS</t>
        </is>
      </c>
      <c r="G202" s="23">
        <f>'Work items'!I55</f>
        <v/>
      </c>
      <c r="H202" s="14">
        <f>'Work items'!G55*'Work items'!I55</f>
        <v/>
      </c>
      <c r="I202" s="14">
        <f>'Work items'!N55</f>
        <v/>
      </c>
      <c r="J202" s="27" t="inlineStr">
        <is>
          <t>One customer-managed deployment validated end to end inside a customer-controlled account: local evaluation, cache behavior during a simulated outage, telemetry configuration, upgrade check</t>
        </is>
      </c>
    </row>
    <row r="203">
      <c r="A203" s="25" t="inlineStr">
        <is>
          <t>WI-050</t>
        </is>
      </c>
      <c r="B203" s="26" t="inlineStr">
        <is>
          <t>M4</t>
        </is>
      </c>
      <c r="C203" s="26" t="inlineStr">
        <is>
          <t>Phase 4</t>
        </is>
      </c>
      <c r="D203" s="27" t="inlineStr">
        <is>
          <t>Validation</t>
        </is>
      </c>
      <c r="E203" s="26" t="inlineStr">
        <is>
          <t>L</t>
        </is>
      </c>
      <c r="F203" s="26" t="inlineStr">
        <is>
          <t>SEC</t>
        </is>
      </c>
      <c r="G203" s="23">
        <f>'Work items'!J55</f>
        <v/>
      </c>
      <c r="H203" s="14">
        <f>'Work items'!G55*'Work items'!J55</f>
        <v/>
      </c>
      <c r="I203" s="14">
        <f>'Work items'!O55</f>
        <v/>
      </c>
      <c r="J203" s="27" t="inlineStr">
        <is>
          <t>One customer-managed deployment validated end to end inside a customer-controlled account: local evaluation, cache behavior during a simulated outage, telemetry configuration, upgrade check</t>
        </is>
      </c>
    </row>
    <row r="204">
      <c r="A204" s="25" t="inlineStr">
        <is>
          <t>WI-050</t>
        </is>
      </c>
      <c r="B204" s="26" t="inlineStr">
        <is>
          <t>M4</t>
        </is>
      </c>
      <c r="C204" s="26" t="inlineStr">
        <is>
          <t>Phase 4</t>
        </is>
      </c>
      <c r="D204" s="27" t="inlineStr">
        <is>
          <t>Validation</t>
        </is>
      </c>
      <c r="E204" s="26" t="inlineStr">
        <is>
          <t>L</t>
        </is>
      </c>
      <c r="F204" s="26" t="inlineStr">
        <is>
          <t>CONS</t>
        </is>
      </c>
      <c r="G204" s="23">
        <f>'Work items'!K55</f>
        <v/>
      </c>
      <c r="H204" s="14">
        <f>'Work items'!G55*'Work items'!K55</f>
        <v/>
      </c>
      <c r="I204" s="14">
        <f>'Work items'!P55</f>
        <v/>
      </c>
      <c r="J204" s="27" t="inlineStr">
        <is>
          <t>One customer-managed deployment validated end to end inside a customer-controlled account: local evaluation, cache behavior during a simulated outage, telemetry configuration, upgrade check</t>
        </is>
      </c>
    </row>
    <row r="205">
      <c r="A205" s="4" t="inlineStr">
        <is>
          <t>WI-051</t>
        </is>
      </c>
      <c r="B205" s="21" t="inlineStr">
        <is>
          <t>M4</t>
        </is>
      </c>
      <c r="C205" s="21" t="inlineStr">
        <is>
          <t>Phase 4</t>
        </is>
      </c>
      <c r="D205" s="16" t="inlineStr">
        <is>
          <t>Contract</t>
        </is>
      </c>
      <c r="E205" s="21" t="inlineStr">
        <is>
          <t>S</t>
        </is>
      </c>
      <c r="F205" s="21" t="inlineStr">
        <is>
          <t>AIG</t>
        </is>
      </c>
      <c r="G205" s="23">
        <f>'Work items'!H56</f>
        <v/>
      </c>
      <c r="H205" s="14">
        <f>'Work items'!G56*'Work items'!H56</f>
        <v/>
      </c>
      <c r="I205" s="14">
        <f>'Work items'!M56</f>
        <v/>
      </c>
      <c r="J205" s="16" t="inlineStr">
        <is>
          <t>Connector invocation contract verified unchanged between hosted and customer-managed deployments — MVP-09 in shipped form</t>
        </is>
      </c>
    </row>
    <row r="206">
      <c r="A206" s="4" t="inlineStr">
        <is>
          <t>WI-051</t>
        </is>
      </c>
      <c r="B206" s="21" t="inlineStr">
        <is>
          <t>M4</t>
        </is>
      </c>
      <c r="C206" s="21" t="inlineStr">
        <is>
          <t>Phase 4</t>
        </is>
      </c>
      <c r="D206" s="16" t="inlineStr">
        <is>
          <t>Contract</t>
        </is>
      </c>
      <c r="E206" s="21" t="inlineStr">
        <is>
          <t>S</t>
        </is>
      </c>
      <c r="F206" s="21" t="inlineStr">
        <is>
          <t>OPS</t>
        </is>
      </c>
      <c r="G206" s="23">
        <f>'Work items'!I56</f>
        <v/>
      </c>
      <c r="H206" s="14">
        <f>'Work items'!G56*'Work items'!I56</f>
        <v/>
      </c>
      <c r="I206" s="14">
        <f>'Work items'!N56</f>
        <v/>
      </c>
      <c r="J206" s="16" t="inlineStr">
        <is>
          <t>Connector invocation contract verified unchanged between hosted and customer-managed deployments — MVP-09 in shipped form</t>
        </is>
      </c>
    </row>
    <row r="207">
      <c r="A207" s="4" t="inlineStr">
        <is>
          <t>WI-051</t>
        </is>
      </c>
      <c r="B207" s="21" t="inlineStr">
        <is>
          <t>M4</t>
        </is>
      </c>
      <c r="C207" s="21" t="inlineStr">
        <is>
          <t>Phase 4</t>
        </is>
      </c>
      <c r="D207" s="16" t="inlineStr">
        <is>
          <t>Contract</t>
        </is>
      </c>
      <c r="E207" s="21" t="inlineStr">
        <is>
          <t>S</t>
        </is>
      </c>
      <c r="F207" s="21" t="inlineStr">
        <is>
          <t>SEC</t>
        </is>
      </c>
      <c r="G207" s="23">
        <f>'Work items'!J56</f>
        <v/>
      </c>
      <c r="H207" s="14">
        <f>'Work items'!G56*'Work items'!J56</f>
        <v/>
      </c>
      <c r="I207" s="14">
        <f>'Work items'!O56</f>
        <v/>
      </c>
      <c r="J207" s="16" t="inlineStr">
        <is>
          <t>Connector invocation contract verified unchanged between hosted and customer-managed deployments — MVP-09 in shipped form</t>
        </is>
      </c>
    </row>
    <row r="208">
      <c r="A208" s="4" t="inlineStr">
        <is>
          <t>WI-051</t>
        </is>
      </c>
      <c r="B208" s="21" t="inlineStr">
        <is>
          <t>M4</t>
        </is>
      </c>
      <c r="C208" s="21" t="inlineStr">
        <is>
          <t>Phase 4</t>
        </is>
      </c>
      <c r="D208" s="16" t="inlineStr">
        <is>
          <t>Contract</t>
        </is>
      </c>
      <c r="E208" s="21" t="inlineStr">
        <is>
          <t>S</t>
        </is>
      </c>
      <c r="F208" s="21" t="inlineStr">
        <is>
          <t>CONS</t>
        </is>
      </c>
      <c r="G208" s="23">
        <f>'Work items'!K56</f>
        <v/>
      </c>
      <c r="H208" s="14">
        <f>'Work items'!G56*'Work items'!K56</f>
        <v/>
      </c>
      <c r="I208" s="14">
        <f>'Work items'!P56</f>
        <v/>
      </c>
      <c r="J208" s="16" t="inlineStr">
        <is>
          <t>Connector invocation contract verified unchanged between hosted and customer-managed deployments — MVP-09 in shipped form</t>
        </is>
      </c>
    </row>
    <row r="209">
      <c r="A209" s="25" t="inlineStr">
        <is>
          <t>WI-052</t>
        </is>
      </c>
      <c r="B209" s="26" t="inlineStr">
        <is>
          <t>M5</t>
        </is>
      </c>
      <c r="C209" s="26" t="inlineStr">
        <is>
          <t>Phase 5</t>
        </is>
      </c>
      <c r="D209" s="27" t="inlineStr">
        <is>
          <t>Evaluation</t>
        </is>
      </c>
      <c r="E209" s="26" t="inlineStr">
        <is>
          <t>L</t>
        </is>
      </c>
      <c r="F209" s="26" t="inlineStr">
        <is>
          <t>AIG</t>
        </is>
      </c>
      <c r="G209" s="23">
        <f>'Work items'!H57</f>
        <v/>
      </c>
      <c r="H209" s="14">
        <f>'Work items'!G57*'Work items'!H57</f>
        <v/>
      </c>
      <c r="I209" s="14">
        <f>'Work items'!M57</f>
        <v/>
      </c>
      <c r="J209" s="27" t="inlineStr">
        <is>
          <t>Retrieval-content evaluation available as an evaluator behind the existing adapter pattern, without redesigning the evaluation contract</t>
        </is>
      </c>
    </row>
    <row r="210">
      <c r="A210" s="25" t="inlineStr">
        <is>
          <t>WI-052</t>
        </is>
      </c>
      <c r="B210" s="26" t="inlineStr">
        <is>
          <t>M5</t>
        </is>
      </c>
      <c r="C210" s="26" t="inlineStr">
        <is>
          <t>Phase 5</t>
        </is>
      </c>
      <c r="D210" s="27" t="inlineStr">
        <is>
          <t>Evaluation</t>
        </is>
      </c>
      <c r="E210" s="26" t="inlineStr">
        <is>
          <t>L</t>
        </is>
      </c>
      <c r="F210" s="26" t="inlineStr">
        <is>
          <t>OPS</t>
        </is>
      </c>
      <c r="G210" s="23">
        <f>'Work items'!I57</f>
        <v/>
      </c>
      <c r="H210" s="14">
        <f>'Work items'!G57*'Work items'!I57</f>
        <v/>
      </c>
      <c r="I210" s="14">
        <f>'Work items'!N57</f>
        <v/>
      </c>
      <c r="J210" s="27" t="inlineStr">
        <is>
          <t>Retrieval-content evaluation available as an evaluator behind the existing adapter pattern, without redesigning the evaluation contract</t>
        </is>
      </c>
    </row>
    <row r="211">
      <c r="A211" s="25" t="inlineStr">
        <is>
          <t>WI-052</t>
        </is>
      </c>
      <c r="B211" s="26" t="inlineStr">
        <is>
          <t>M5</t>
        </is>
      </c>
      <c r="C211" s="26" t="inlineStr">
        <is>
          <t>Phase 5</t>
        </is>
      </c>
      <c r="D211" s="27" t="inlineStr">
        <is>
          <t>Evaluation</t>
        </is>
      </c>
      <c r="E211" s="26" t="inlineStr">
        <is>
          <t>L</t>
        </is>
      </c>
      <c r="F211" s="26" t="inlineStr">
        <is>
          <t>SEC</t>
        </is>
      </c>
      <c r="G211" s="23">
        <f>'Work items'!J57</f>
        <v/>
      </c>
      <c r="H211" s="14">
        <f>'Work items'!G57*'Work items'!J57</f>
        <v/>
      </c>
      <c r="I211" s="14">
        <f>'Work items'!O57</f>
        <v/>
      </c>
      <c r="J211" s="27" t="inlineStr">
        <is>
          <t>Retrieval-content evaluation available as an evaluator behind the existing adapter pattern, without redesigning the evaluation contract</t>
        </is>
      </c>
    </row>
    <row r="212">
      <c r="A212" s="25" t="inlineStr">
        <is>
          <t>WI-052</t>
        </is>
      </c>
      <c r="B212" s="26" t="inlineStr">
        <is>
          <t>M5</t>
        </is>
      </c>
      <c r="C212" s="26" t="inlineStr">
        <is>
          <t>Phase 5</t>
        </is>
      </c>
      <c r="D212" s="27" t="inlineStr">
        <is>
          <t>Evaluation</t>
        </is>
      </c>
      <c r="E212" s="26" t="inlineStr">
        <is>
          <t>L</t>
        </is>
      </c>
      <c r="F212" s="26" t="inlineStr">
        <is>
          <t>CONS</t>
        </is>
      </c>
      <c r="G212" s="23">
        <f>'Work items'!K57</f>
        <v/>
      </c>
      <c r="H212" s="14">
        <f>'Work items'!G57*'Work items'!K57</f>
        <v/>
      </c>
      <c r="I212" s="14">
        <f>'Work items'!P57</f>
        <v/>
      </c>
      <c r="J212" s="27" t="inlineStr">
        <is>
          <t>Retrieval-content evaluation available as an evaluator behind the existing adapter pattern, without redesigning the evaluation contract</t>
        </is>
      </c>
    </row>
    <row r="213">
      <c r="A213" s="4" t="inlineStr">
        <is>
          <t>WI-053</t>
        </is>
      </c>
      <c r="B213" s="21" t="inlineStr">
        <is>
          <t>M5</t>
        </is>
      </c>
      <c r="C213" s="21" t="inlineStr">
        <is>
          <t>Phase 5</t>
        </is>
      </c>
      <c r="D213" s="16" t="inlineStr">
        <is>
          <t>Evaluation</t>
        </is>
      </c>
      <c r="E213" s="21" t="inlineStr">
        <is>
          <t>XL</t>
        </is>
      </c>
      <c r="F213" s="21" t="inlineStr">
        <is>
          <t>AIG</t>
        </is>
      </c>
      <c r="G213" s="23">
        <f>'Work items'!H58</f>
        <v/>
      </c>
      <c r="H213" s="14">
        <f>'Work items'!G58*'Work items'!H58</f>
        <v/>
      </c>
      <c r="I213" s="14">
        <f>'Work items'!M58</f>
        <v/>
      </c>
      <c r="J213" s="16" t="inlineStr">
        <is>
          <t>Indirect prompt-injection detection available as a new evaluator behind the same adapter pattern</t>
        </is>
      </c>
    </row>
    <row r="214">
      <c r="A214" s="4" t="inlineStr">
        <is>
          <t>WI-053</t>
        </is>
      </c>
      <c r="B214" s="21" t="inlineStr">
        <is>
          <t>M5</t>
        </is>
      </c>
      <c r="C214" s="21" t="inlineStr">
        <is>
          <t>Phase 5</t>
        </is>
      </c>
      <c r="D214" s="16" t="inlineStr">
        <is>
          <t>Evaluation</t>
        </is>
      </c>
      <c r="E214" s="21" t="inlineStr">
        <is>
          <t>XL</t>
        </is>
      </c>
      <c r="F214" s="21" t="inlineStr">
        <is>
          <t>OPS</t>
        </is>
      </c>
      <c r="G214" s="23">
        <f>'Work items'!I58</f>
        <v/>
      </c>
      <c r="H214" s="14">
        <f>'Work items'!G58*'Work items'!I58</f>
        <v/>
      </c>
      <c r="I214" s="14">
        <f>'Work items'!N58</f>
        <v/>
      </c>
      <c r="J214" s="16" t="inlineStr">
        <is>
          <t>Indirect prompt-injection detection available as a new evaluator behind the same adapter pattern</t>
        </is>
      </c>
    </row>
    <row r="215">
      <c r="A215" s="4" t="inlineStr">
        <is>
          <t>WI-053</t>
        </is>
      </c>
      <c r="B215" s="21" t="inlineStr">
        <is>
          <t>M5</t>
        </is>
      </c>
      <c r="C215" s="21" t="inlineStr">
        <is>
          <t>Phase 5</t>
        </is>
      </c>
      <c r="D215" s="16" t="inlineStr">
        <is>
          <t>Evaluation</t>
        </is>
      </c>
      <c r="E215" s="21" t="inlineStr">
        <is>
          <t>XL</t>
        </is>
      </c>
      <c r="F215" s="21" t="inlineStr">
        <is>
          <t>SEC</t>
        </is>
      </c>
      <c r="G215" s="23">
        <f>'Work items'!J58</f>
        <v/>
      </c>
      <c r="H215" s="14">
        <f>'Work items'!G58*'Work items'!J58</f>
        <v/>
      </c>
      <c r="I215" s="14">
        <f>'Work items'!O58</f>
        <v/>
      </c>
      <c r="J215" s="16" t="inlineStr">
        <is>
          <t>Indirect prompt-injection detection available as a new evaluator behind the same adapter pattern</t>
        </is>
      </c>
    </row>
    <row r="216">
      <c r="A216" s="4" t="inlineStr">
        <is>
          <t>WI-053</t>
        </is>
      </c>
      <c r="B216" s="21" t="inlineStr">
        <is>
          <t>M5</t>
        </is>
      </c>
      <c r="C216" s="21" t="inlineStr">
        <is>
          <t>Phase 5</t>
        </is>
      </c>
      <c r="D216" s="16" t="inlineStr">
        <is>
          <t>Evaluation</t>
        </is>
      </c>
      <c r="E216" s="21" t="inlineStr">
        <is>
          <t>XL</t>
        </is>
      </c>
      <c r="F216" s="21" t="inlineStr">
        <is>
          <t>CONS</t>
        </is>
      </c>
      <c r="G216" s="23">
        <f>'Work items'!K58</f>
        <v/>
      </c>
      <c r="H216" s="14">
        <f>'Work items'!G58*'Work items'!K58</f>
        <v/>
      </c>
      <c r="I216" s="14">
        <f>'Work items'!P58</f>
        <v/>
      </c>
      <c r="J216" s="16" t="inlineStr">
        <is>
          <t>Indirect prompt-injection detection available as a new evaluator behind the same adapter pattern</t>
        </is>
      </c>
    </row>
    <row r="217">
      <c r="A217" s="25" t="inlineStr">
        <is>
          <t>WI-054</t>
        </is>
      </c>
      <c r="B217" s="26" t="inlineStr">
        <is>
          <t>M5</t>
        </is>
      </c>
      <c r="C217" s="26" t="inlineStr">
        <is>
          <t>Phase 5</t>
        </is>
      </c>
      <c r="D217" s="27" t="inlineStr">
        <is>
          <t>Evaluation</t>
        </is>
      </c>
      <c r="E217" s="26" t="inlineStr">
        <is>
          <t>L</t>
        </is>
      </c>
      <c r="F217" s="26" t="inlineStr">
        <is>
          <t>AIG</t>
        </is>
      </c>
      <c r="G217" s="23">
        <f>'Work items'!H59</f>
        <v/>
      </c>
      <c r="H217" s="14">
        <f>'Work items'!G59*'Work items'!H59</f>
        <v/>
      </c>
      <c r="I217" s="14">
        <f>'Work items'!M59</f>
        <v/>
      </c>
      <c r="J217" s="27" t="inlineStr">
        <is>
          <t>Tool-call validation using the tool_call evaluation stage</t>
        </is>
      </c>
    </row>
    <row r="218">
      <c r="A218" s="25" t="inlineStr">
        <is>
          <t>WI-054</t>
        </is>
      </c>
      <c r="B218" s="26" t="inlineStr">
        <is>
          <t>M5</t>
        </is>
      </c>
      <c r="C218" s="26" t="inlineStr">
        <is>
          <t>Phase 5</t>
        </is>
      </c>
      <c r="D218" s="27" t="inlineStr">
        <is>
          <t>Evaluation</t>
        </is>
      </c>
      <c r="E218" s="26" t="inlineStr">
        <is>
          <t>L</t>
        </is>
      </c>
      <c r="F218" s="26" t="inlineStr">
        <is>
          <t>OPS</t>
        </is>
      </c>
      <c r="G218" s="23">
        <f>'Work items'!I59</f>
        <v/>
      </c>
      <c r="H218" s="14">
        <f>'Work items'!G59*'Work items'!I59</f>
        <v/>
      </c>
      <c r="I218" s="14">
        <f>'Work items'!N59</f>
        <v/>
      </c>
      <c r="J218" s="27" t="inlineStr">
        <is>
          <t>Tool-call validation using the tool_call evaluation stage</t>
        </is>
      </c>
    </row>
    <row r="219">
      <c r="A219" s="25" t="inlineStr">
        <is>
          <t>WI-054</t>
        </is>
      </c>
      <c r="B219" s="26" t="inlineStr">
        <is>
          <t>M5</t>
        </is>
      </c>
      <c r="C219" s="26" t="inlineStr">
        <is>
          <t>Phase 5</t>
        </is>
      </c>
      <c r="D219" s="27" t="inlineStr">
        <is>
          <t>Evaluation</t>
        </is>
      </c>
      <c r="E219" s="26" t="inlineStr">
        <is>
          <t>L</t>
        </is>
      </c>
      <c r="F219" s="26" t="inlineStr">
        <is>
          <t>SEC</t>
        </is>
      </c>
      <c r="G219" s="23">
        <f>'Work items'!J59</f>
        <v/>
      </c>
      <c r="H219" s="14">
        <f>'Work items'!G59*'Work items'!J59</f>
        <v/>
      </c>
      <c r="I219" s="14">
        <f>'Work items'!O59</f>
        <v/>
      </c>
      <c r="J219" s="27" t="inlineStr">
        <is>
          <t>Tool-call validation using the tool_call evaluation stage</t>
        </is>
      </c>
    </row>
    <row r="220">
      <c r="A220" s="25" t="inlineStr">
        <is>
          <t>WI-054</t>
        </is>
      </c>
      <c r="B220" s="26" t="inlineStr">
        <is>
          <t>M5</t>
        </is>
      </c>
      <c r="C220" s="26" t="inlineStr">
        <is>
          <t>Phase 5</t>
        </is>
      </c>
      <c r="D220" s="27" t="inlineStr">
        <is>
          <t>Evaluation</t>
        </is>
      </c>
      <c r="E220" s="26" t="inlineStr">
        <is>
          <t>L</t>
        </is>
      </c>
      <c r="F220" s="26" t="inlineStr">
        <is>
          <t>CONS</t>
        </is>
      </c>
      <c r="G220" s="23">
        <f>'Work items'!K59</f>
        <v/>
      </c>
      <c r="H220" s="14">
        <f>'Work items'!G59*'Work items'!K59</f>
        <v/>
      </c>
      <c r="I220" s="14">
        <f>'Work items'!P59</f>
        <v/>
      </c>
      <c r="J220" s="27" t="inlineStr">
        <is>
          <t>Tool-call validation using the tool_call evaluation stage</t>
        </is>
      </c>
    </row>
    <row r="221">
      <c r="A221" s="4" t="inlineStr">
        <is>
          <t>WI-055</t>
        </is>
      </c>
      <c r="B221" s="21" t="inlineStr">
        <is>
          <t>M5</t>
        </is>
      </c>
      <c r="C221" s="21" t="inlineStr">
        <is>
          <t>Phase 5</t>
        </is>
      </c>
      <c r="D221" s="16" t="inlineStr">
        <is>
          <t>Evaluation</t>
        </is>
      </c>
      <c r="E221" s="21" t="inlineStr">
        <is>
          <t>L</t>
        </is>
      </c>
      <c r="F221" s="21" t="inlineStr">
        <is>
          <t>AIG</t>
        </is>
      </c>
      <c r="G221" s="23">
        <f>'Work items'!H60</f>
        <v/>
      </c>
      <c r="H221" s="14">
        <f>'Work items'!G60*'Work items'!H60</f>
        <v/>
      </c>
      <c r="I221" s="14">
        <f>'Work items'!M60</f>
        <v/>
      </c>
      <c r="J221" s="16" t="inlineStr">
        <is>
          <t>Tool-result evaluation using the tool_result evaluation stage</t>
        </is>
      </c>
    </row>
    <row r="222">
      <c r="A222" s="4" t="inlineStr">
        <is>
          <t>WI-055</t>
        </is>
      </c>
      <c r="B222" s="21" t="inlineStr">
        <is>
          <t>M5</t>
        </is>
      </c>
      <c r="C222" s="21" t="inlineStr">
        <is>
          <t>Phase 5</t>
        </is>
      </c>
      <c r="D222" s="16" t="inlineStr">
        <is>
          <t>Evaluation</t>
        </is>
      </c>
      <c r="E222" s="21" t="inlineStr">
        <is>
          <t>L</t>
        </is>
      </c>
      <c r="F222" s="21" t="inlineStr">
        <is>
          <t>OPS</t>
        </is>
      </c>
      <c r="G222" s="23">
        <f>'Work items'!I60</f>
        <v/>
      </c>
      <c r="H222" s="14">
        <f>'Work items'!G60*'Work items'!I60</f>
        <v/>
      </c>
      <c r="I222" s="14">
        <f>'Work items'!N60</f>
        <v/>
      </c>
      <c r="J222" s="16" t="inlineStr">
        <is>
          <t>Tool-result evaluation using the tool_result evaluation stage</t>
        </is>
      </c>
    </row>
    <row r="223">
      <c r="A223" s="4" t="inlineStr">
        <is>
          <t>WI-055</t>
        </is>
      </c>
      <c r="B223" s="21" t="inlineStr">
        <is>
          <t>M5</t>
        </is>
      </c>
      <c r="C223" s="21" t="inlineStr">
        <is>
          <t>Phase 5</t>
        </is>
      </c>
      <c r="D223" s="16" t="inlineStr">
        <is>
          <t>Evaluation</t>
        </is>
      </c>
      <c r="E223" s="21" t="inlineStr">
        <is>
          <t>L</t>
        </is>
      </c>
      <c r="F223" s="21" t="inlineStr">
        <is>
          <t>SEC</t>
        </is>
      </c>
      <c r="G223" s="23">
        <f>'Work items'!J60</f>
        <v/>
      </c>
      <c r="H223" s="14">
        <f>'Work items'!G60*'Work items'!J60</f>
        <v/>
      </c>
      <c r="I223" s="14">
        <f>'Work items'!O60</f>
        <v/>
      </c>
      <c r="J223" s="16" t="inlineStr">
        <is>
          <t>Tool-result evaluation using the tool_result evaluation stage</t>
        </is>
      </c>
    </row>
    <row r="224">
      <c r="A224" s="4" t="inlineStr">
        <is>
          <t>WI-055</t>
        </is>
      </c>
      <c r="B224" s="21" t="inlineStr">
        <is>
          <t>M5</t>
        </is>
      </c>
      <c r="C224" s="21" t="inlineStr">
        <is>
          <t>Phase 5</t>
        </is>
      </c>
      <c r="D224" s="16" t="inlineStr">
        <is>
          <t>Evaluation</t>
        </is>
      </c>
      <c r="E224" s="21" t="inlineStr">
        <is>
          <t>L</t>
        </is>
      </c>
      <c r="F224" s="21" t="inlineStr">
        <is>
          <t>CONS</t>
        </is>
      </c>
      <c r="G224" s="23">
        <f>'Work items'!K60</f>
        <v/>
      </c>
      <c r="H224" s="14">
        <f>'Work items'!G60*'Work items'!K60</f>
        <v/>
      </c>
      <c r="I224" s="14">
        <f>'Work items'!P60</f>
        <v/>
      </c>
      <c r="J224" s="16" t="inlineStr">
        <is>
          <t>Tool-result evaluation using the tool_result evaluation stage</t>
        </is>
      </c>
    </row>
    <row r="225">
      <c r="A225" s="25" t="inlineStr">
        <is>
          <t>WI-056</t>
        </is>
      </c>
      <c r="B225" s="26" t="inlineStr">
        <is>
          <t>M5</t>
        </is>
      </c>
      <c r="C225" s="26" t="inlineStr">
        <is>
          <t>Phase 5</t>
        </is>
      </c>
      <c r="D225" s="27" t="inlineStr">
        <is>
          <t>Evaluation</t>
        </is>
      </c>
      <c r="E225" s="26" t="inlineStr">
        <is>
          <t>L</t>
        </is>
      </c>
      <c r="F225" s="26" t="inlineStr">
        <is>
          <t>AIG</t>
        </is>
      </c>
      <c r="G225" s="23">
        <f>'Work items'!H61</f>
        <v/>
      </c>
      <c r="H225" s="14">
        <f>'Work items'!G61*'Work items'!H61</f>
        <v/>
      </c>
      <c r="I225" s="14">
        <f>'Work items'!M61</f>
        <v/>
      </c>
      <c r="J225" s="27" t="inlineStr">
        <is>
          <t>Memory-write controls using the memory_write evaluation stage, fitted to the existing Evaluation and Decision entities</t>
        </is>
      </c>
    </row>
    <row r="226">
      <c r="A226" s="25" t="inlineStr">
        <is>
          <t>WI-056</t>
        </is>
      </c>
      <c r="B226" s="26" t="inlineStr">
        <is>
          <t>M5</t>
        </is>
      </c>
      <c r="C226" s="26" t="inlineStr">
        <is>
          <t>Phase 5</t>
        </is>
      </c>
      <c r="D226" s="27" t="inlineStr">
        <is>
          <t>Evaluation</t>
        </is>
      </c>
      <c r="E226" s="26" t="inlineStr">
        <is>
          <t>L</t>
        </is>
      </c>
      <c r="F226" s="26" t="inlineStr">
        <is>
          <t>OPS</t>
        </is>
      </c>
      <c r="G226" s="23">
        <f>'Work items'!I61</f>
        <v/>
      </c>
      <c r="H226" s="14">
        <f>'Work items'!G61*'Work items'!I61</f>
        <v/>
      </c>
      <c r="I226" s="14">
        <f>'Work items'!N61</f>
        <v/>
      </c>
      <c r="J226" s="27" t="inlineStr">
        <is>
          <t>Memory-write controls using the memory_write evaluation stage, fitted to the existing Evaluation and Decision entities</t>
        </is>
      </c>
    </row>
    <row r="227">
      <c r="A227" s="25" t="inlineStr">
        <is>
          <t>WI-056</t>
        </is>
      </c>
      <c r="B227" s="26" t="inlineStr">
        <is>
          <t>M5</t>
        </is>
      </c>
      <c r="C227" s="26" t="inlineStr">
        <is>
          <t>Phase 5</t>
        </is>
      </c>
      <c r="D227" s="27" t="inlineStr">
        <is>
          <t>Evaluation</t>
        </is>
      </c>
      <c r="E227" s="26" t="inlineStr">
        <is>
          <t>L</t>
        </is>
      </c>
      <c r="F227" s="26" t="inlineStr">
        <is>
          <t>SEC</t>
        </is>
      </c>
      <c r="G227" s="23">
        <f>'Work items'!J61</f>
        <v/>
      </c>
      <c r="H227" s="14">
        <f>'Work items'!G61*'Work items'!J61</f>
        <v/>
      </c>
      <c r="I227" s="14">
        <f>'Work items'!O61</f>
        <v/>
      </c>
      <c r="J227" s="27" t="inlineStr">
        <is>
          <t>Memory-write controls using the memory_write evaluation stage, fitted to the existing Evaluation and Decision entities</t>
        </is>
      </c>
    </row>
    <row r="228">
      <c r="A228" s="25" t="inlineStr">
        <is>
          <t>WI-056</t>
        </is>
      </c>
      <c r="B228" s="26" t="inlineStr">
        <is>
          <t>M5</t>
        </is>
      </c>
      <c r="C228" s="26" t="inlineStr">
        <is>
          <t>Phase 5</t>
        </is>
      </c>
      <c r="D228" s="27" t="inlineStr">
        <is>
          <t>Evaluation</t>
        </is>
      </c>
      <c r="E228" s="26" t="inlineStr">
        <is>
          <t>L</t>
        </is>
      </c>
      <c r="F228" s="26" t="inlineStr">
        <is>
          <t>CONS</t>
        </is>
      </c>
      <c r="G228" s="23">
        <f>'Work items'!K61</f>
        <v/>
      </c>
      <c r="H228" s="14">
        <f>'Work items'!G61*'Work items'!K61</f>
        <v/>
      </c>
      <c r="I228" s="14">
        <f>'Work items'!P61</f>
        <v/>
      </c>
      <c r="J228" s="27" t="inlineStr">
        <is>
          <t>Memory-write controls using the memory_write evaluation stage, fitted to the existing Evaluation and Decision entities</t>
        </is>
      </c>
    </row>
    <row r="229">
      <c r="A229" s="4" t="inlineStr">
        <is>
          <t>WI-057</t>
        </is>
      </c>
      <c r="B229" s="21" t="inlineStr">
        <is>
          <t>M5</t>
        </is>
      </c>
      <c r="C229" s="21" t="inlineStr">
        <is>
          <t>Phase 5</t>
        </is>
      </c>
      <c r="D229" s="16" t="inlineStr">
        <is>
          <t>Control plane</t>
        </is>
      </c>
      <c r="E229" s="21" t="inlineStr">
        <is>
          <t>XL</t>
        </is>
      </c>
      <c r="F229" s="21" t="inlineStr">
        <is>
          <t>AIG</t>
        </is>
      </c>
      <c r="G229" s="23">
        <f>'Work items'!H62</f>
        <v/>
      </c>
      <c r="H229" s="14">
        <f>'Work items'!G62*'Work items'!H62</f>
        <v/>
      </c>
      <c r="I229" s="14">
        <f>'Work items'!M62</f>
        <v/>
      </c>
      <c r="J229" s="16" t="inlineStr">
        <is>
          <t>Human approval workflows for the require_approval decision action, which is reserved in the schema but has no owning workflow before this milestone</t>
        </is>
      </c>
    </row>
    <row r="230">
      <c r="A230" s="4" t="inlineStr">
        <is>
          <t>WI-057</t>
        </is>
      </c>
      <c r="B230" s="21" t="inlineStr">
        <is>
          <t>M5</t>
        </is>
      </c>
      <c r="C230" s="21" t="inlineStr">
        <is>
          <t>Phase 5</t>
        </is>
      </c>
      <c r="D230" s="16" t="inlineStr">
        <is>
          <t>Control plane</t>
        </is>
      </c>
      <c r="E230" s="21" t="inlineStr">
        <is>
          <t>XL</t>
        </is>
      </c>
      <c r="F230" s="21" t="inlineStr">
        <is>
          <t>OPS</t>
        </is>
      </c>
      <c r="G230" s="23">
        <f>'Work items'!I62</f>
        <v/>
      </c>
      <c r="H230" s="14">
        <f>'Work items'!G62*'Work items'!I62</f>
        <v/>
      </c>
      <c r="I230" s="14">
        <f>'Work items'!N62</f>
        <v/>
      </c>
      <c r="J230" s="16" t="inlineStr">
        <is>
          <t>Human approval workflows for the require_approval decision action, which is reserved in the schema but has no owning workflow before this milestone</t>
        </is>
      </c>
    </row>
    <row r="231">
      <c r="A231" s="4" t="inlineStr">
        <is>
          <t>WI-057</t>
        </is>
      </c>
      <c r="B231" s="21" t="inlineStr">
        <is>
          <t>M5</t>
        </is>
      </c>
      <c r="C231" s="21" t="inlineStr">
        <is>
          <t>Phase 5</t>
        </is>
      </c>
      <c r="D231" s="16" t="inlineStr">
        <is>
          <t>Control plane</t>
        </is>
      </c>
      <c r="E231" s="21" t="inlineStr">
        <is>
          <t>XL</t>
        </is>
      </c>
      <c r="F231" s="21" t="inlineStr">
        <is>
          <t>SEC</t>
        </is>
      </c>
      <c r="G231" s="23">
        <f>'Work items'!J62</f>
        <v/>
      </c>
      <c r="H231" s="14">
        <f>'Work items'!G62*'Work items'!J62</f>
        <v/>
      </c>
      <c r="I231" s="14">
        <f>'Work items'!O62</f>
        <v/>
      </c>
      <c r="J231" s="16" t="inlineStr">
        <is>
          <t>Human approval workflows for the require_approval decision action, which is reserved in the schema but has no owning workflow before this milestone</t>
        </is>
      </c>
    </row>
    <row r="232">
      <c r="A232" s="4" t="inlineStr">
        <is>
          <t>WI-057</t>
        </is>
      </c>
      <c r="B232" s="21" t="inlineStr">
        <is>
          <t>M5</t>
        </is>
      </c>
      <c r="C232" s="21" t="inlineStr">
        <is>
          <t>Phase 5</t>
        </is>
      </c>
      <c r="D232" s="16" t="inlineStr">
        <is>
          <t>Control plane</t>
        </is>
      </c>
      <c r="E232" s="21" t="inlineStr">
        <is>
          <t>XL</t>
        </is>
      </c>
      <c r="F232" s="21" t="inlineStr">
        <is>
          <t>CONS</t>
        </is>
      </c>
      <c r="G232" s="23">
        <f>'Work items'!K62</f>
        <v/>
      </c>
      <c r="H232" s="14">
        <f>'Work items'!G62*'Work items'!K62</f>
        <v/>
      </c>
      <c r="I232" s="14">
        <f>'Work items'!P62</f>
        <v/>
      </c>
      <c r="J232" s="16" t="inlineStr">
        <is>
          <t>Human approval workflows for the require_approval decision action, which is reserved in the schema but has no owning workflow before this milestone</t>
        </is>
      </c>
    </row>
    <row r="233">
      <c r="A233" s="25" t="inlineStr">
        <is>
          <t>WI-058</t>
        </is>
      </c>
      <c r="B233" s="26" t="inlineStr">
        <is>
          <t>M5</t>
        </is>
      </c>
      <c r="C233" s="26" t="inlineStr">
        <is>
          <t>Phase 5</t>
        </is>
      </c>
      <c r="D233" s="27" t="inlineStr">
        <is>
          <t>Evaluation</t>
        </is>
      </c>
      <c r="E233" s="26" t="inlineStr">
        <is>
          <t>L</t>
        </is>
      </c>
      <c r="F233" s="26" t="inlineStr">
        <is>
          <t>AIG</t>
        </is>
      </c>
      <c r="G233" s="23">
        <f>'Work items'!H63</f>
        <v/>
      </c>
      <c r="H233" s="14">
        <f>'Work items'!G63*'Work items'!H63</f>
        <v/>
      </c>
      <c r="I233" s="14">
        <f>'Work items'!M63</f>
        <v/>
      </c>
      <c r="J233" s="27" t="inlineStr">
        <is>
          <t>Agent delegation restrictions</t>
        </is>
      </c>
    </row>
    <row r="234">
      <c r="A234" s="25" t="inlineStr">
        <is>
          <t>WI-058</t>
        </is>
      </c>
      <c r="B234" s="26" t="inlineStr">
        <is>
          <t>M5</t>
        </is>
      </c>
      <c r="C234" s="26" t="inlineStr">
        <is>
          <t>Phase 5</t>
        </is>
      </c>
      <c r="D234" s="27" t="inlineStr">
        <is>
          <t>Evaluation</t>
        </is>
      </c>
      <c r="E234" s="26" t="inlineStr">
        <is>
          <t>L</t>
        </is>
      </c>
      <c r="F234" s="26" t="inlineStr">
        <is>
          <t>OPS</t>
        </is>
      </c>
      <c r="G234" s="23">
        <f>'Work items'!I63</f>
        <v/>
      </c>
      <c r="H234" s="14">
        <f>'Work items'!G63*'Work items'!I63</f>
        <v/>
      </c>
      <c r="I234" s="14">
        <f>'Work items'!N63</f>
        <v/>
      </c>
      <c r="J234" s="27" t="inlineStr">
        <is>
          <t>Agent delegation restrictions</t>
        </is>
      </c>
    </row>
    <row r="235">
      <c r="A235" s="25" t="inlineStr">
        <is>
          <t>WI-058</t>
        </is>
      </c>
      <c r="B235" s="26" t="inlineStr">
        <is>
          <t>M5</t>
        </is>
      </c>
      <c r="C235" s="26" t="inlineStr">
        <is>
          <t>Phase 5</t>
        </is>
      </c>
      <c r="D235" s="27" t="inlineStr">
        <is>
          <t>Evaluation</t>
        </is>
      </c>
      <c r="E235" s="26" t="inlineStr">
        <is>
          <t>L</t>
        </is>
      </c>
      <c r="F235" s="26" t="inlineStr">
        <is>
          <t>SEC</t>
        </is>
      </c>
      <c r="G235" s="23">
        <f>'Work items'!J63</f>
        <v/>
      </c>
      <c r="H235" s="14">
        <f>'Work items'!G63*'Work items'!J63</f>
        <v/>
      </c>
      <c r="I235" s="14">
        <f>'Work items'!O63</f>
        <v/>
      </c>
      <c r="J235" s="27" t="inlineStr">
        <is>
          <t>Agent delegation restrictions</t>
        </is>
      </c>
    </row>
    <row r="236">
      <c r="A236" s="25" t="inlineStr">
        <is>
          <t>WI-058</t>
        </is>
      </c>
      <c r="B236" s="26" t="inlineStr">
        <is>
          <t>M5</t>
        </is>
      </c>
      <c r="C236" s="26" t="inlineStr">
        <is>
          <t>Phase 5</t>
        </is>
      </c>
      <c r="D236" s="27" t="inlineStr">
        <is>
          <t>Evaluation</t>
        </is>
      </c>
      <c r="E236" s="26" t="inlineStr">
        <is>
          <t>L</t>
        </is>
      </c>
      <c r="F236" s="26" t="inlineStr">
        <is>
          <t>CONS</t>
        </is>
      </c>
      <c r="G236" s="23">
        <f>'Work items'!K63</f>
        <v/>
      </c>
      <c r="H236" s="14">
        <f>'Work items'!G63*'Work items'!K63</f>
        <v/>
      </c>
      <c r="I236" s="14">
        <f>'Work items'!P63</f>
        <v/>
      </c>
      <c r="J236" s="27" t="inlineStr">
        <is>
          <t>Agent delegation restrictions</t>
        </is>
      </c>
    </row>
    <row r="237">
      <c r="A237" s="4" t="inlineStr">
        <is>
          <t>WI-059</t>
        </is>
      </c>
      <c r="B237" s="21" t="inlineStr">
        <is>
          <t>M5</t>
        </is>
      </c>
      <c r="C237" s="21" t="inlineStr">
        <is>
          <t>Phase 5</t>
        </is>
      </c>
      <c r="D237" s="16" t="inlineStr">
        <is>
          <t>Integration</t>
        </is>
      </c>
      <c r="E237" s="21" t="inlineStr">
        <is>
          <t>L</t>
        </is>
      </c>
      <c r="F237" s="21" t="inlineStr">
        <is>
          <t>AIG</t>
        </is>
      </c>
      <c r="G237" s="23">
        <f>'Work items'!H64</f>
        <v/>
      </c>
      <c r="H237" s="14">
        <f>'Work items'!G64*'Work items'!H64</f>
        <v/>
      </c>
      <c r="I237" s="14">
        <f>'Work items'!M64</f>
        <v/>
      </c>
      <c r="J237" s="16" t="inlineStr">
        <is>
          <t>MCP integration scoped narrowly to the platform's own tool-call evaluation, explicitly distinguished from a general-purpose MCP security platform</t>
        </is>
      </c>
    </row>
    <row r="238">
      <c r="A238" s="4" t="inlineStr">
        <is>
          <t>WI-059</t>
        </is>
      </c>
      <c r="B238" s="21" t="inlineStr">
        <is>
          <t>M5</t>
        </is>
      </c>
      <c r="C238" s="21" t="inlineStr">
        <is>
          <t>Phase 5</t>
        </is>
      </c>
      <c r="D238" s="16" t="inlineStr">
        <is>
          <t>Integration</t>
        </is>
      </c>
      <c r="E238" s="21" t="inlineStr">
        <is>
          <t>L</t>
        </is>
      </c>
      <c r="F238" s="21" t="inlineStr">
        <is>
          <t>OPS</t>
        </is>
      </c>
      <c r="G238" s="23">
        <f>'Work items'!I64</f>
        <v/>
      </c>
      <c r="H238" s="14">
        <f>'Work items'!G64*'Work items'!I64</f>
        <v/>
      </c>
      <c r="I238" s="14">
        <f>'Work items'!N64</f>
        <v/>
      </c>
      <c r="J238" s="16" t="inlineStr">
        <is>
          <t>MCP integration scoped narrowly to the platform's own tool-call evaluation, explicitly distinguished from a general-purpose MCP security platform</t>
        </is>
      </c>
    </row>
    <row r="239">
      <c r="A239" s="4" t="inlineStr">
        <is>
          <t>WI-059</t>
        </is>
      </c>
      <c r="B239" s="21" t="inlineStr">
        <is>
          <t>M5</t>
        </is>
      </c>
      <c r="C239" s="21" t="inlineStr">
        <is>
          <t>Phase 5</t>
        </is>
      </c>
      <c r="D239" s="16" t="inlineStr">
        <is>
          <t>Integration</t>
        </is>
      </c>
      <c r="E239" s="21" t="inlineStr">
        <is>
          <t>L</t>
        </is>
      </c>
      <c r="F239" s="21" t="inlineStr">
        <is>
          <t>SEC</t>
        </is>
      </c>
      <c r="G239" s="23">
        <f>'Work items'!J64</f>
        <v/>
      </c>
      <c r="H239" s="14">
        <f>'Work items'!G64*'Work items'!J64</f>
        <v/>
      </c>
      <c r="I239" s="14">
        <f>'Work items'!O64</f>
        <v/>
      </c>
      <c r="J239" s="16" t="inlineStr">
        <is>
          <t>MCP integration scoped narrowly to the platform's own tool-call evaluation, explicitly distinguished from a general-purpose MCP security platform</t>
        </is>
      </c>
    </row>
    <row r="240">
      <c r="A240" s="4" t="inlineStr">
        <is>
          <t>WI-059</t>
        </is>
      </c>
      <c r="B240" s="21" t="inlineStr">
        <is>
          <t>M5</t>
        </is>
      </c>
      <c r="C240" s="21" t="inlineStr">
        <is>
          <t>Phase 5</t>
        </is>
      </c>
      <c r="D240" s="16" t="inlineStr">
        <is>
          <t>Integration</t>
        </is>
      </c>
      <c r="E240" s="21" t="inlineStr">
        <is>
          <t>L</t>
        </is>
      </c>
      <c r="F240" s="21" t="inlineStr">
        <is>
          <t>CONS</t>
        </is>
      </c>
      <c r="G240" s="23">
        <f>'Work items'!K64</f>
        <v/>
      </c>
      <c r="H240" s="14">
        <f>'Work items'!G64*'Work items'!K64</f>
        <v/>
      </c>
      <c r="I240" s="14">
        <f>'Work items'!P64</f>
        <v/>
      </c>
      <c r="J240" s="16" t="inlineStr">
        <is>
          <t>MCP integration scoped narrowly to the platform's own tool-call evaluation, explicitly distinguished from a general-purpose MCP security platform</t>
        </is>
      </c>
    </row>
    <row r="241">
      <c r="A241" s="25" t="inlineStr">
        <is>
          <t>WI-060</t>
        </is>
      </c>
      <c r="B241" s="26" t="inlineStr">
        <is>
          <t>M5</t>
        </is>
      </c>
      <c r="C241" s="26" t="inlineStr">
        <is>
          <t>Phase 5</t>
        </is>
      </c>
      <c r="D241" s="27" t="inlineStr">
        <is>
          <t>Integration</t>
        </is>
      </c>
      <c r="E241" s="26" t="inlineStr">
        <is>
          <t>L</t>
        </is>
      </c>
      <c r="F241" s="26" t="inlineStr">
        <is>
          <t>AIG</t>
        </is>
      </c>
      <c r="G241" s="23">
        <f>'Work items'!H65</f>
        <v/>
      </c>
      <c r="H241" s="14">
        <f>'Work items'!G65*'Work items'!H65</f>
        <v/>
      </c>
      <c r="I241" s="14">
        <f>'Work items'!M65</f>
        <v/>
      </c>
      <c r="J241" s="27" t="inlineStr">
        <is>
          <t>Advanced authorization integration, without redefining a guardrail decision as a business-authorization decision</t>
        </is>
      </c>
    </row>
    <row r="242">
      <c r="A242" s="25" t="inlineStr">
        <is>
          <t>WI-060</t>
        </is>
      </c>
      <c r="B242" s="26" t="inlineStr">
        <is>
          <t>M5</t>
        </is>
      </c>
      <c r="C242" s="26" t="inlineStr">
        <is>
          <t>Phase 5</t>
        </is>
      </c>
      <c r="D242" s="27" t="inlineStr">
        <is>
          <t>Integration</t>
        </is>
      </c>
      <c r="E242" s="26" t="inlineStr">
        <is>
          <t>L</t>
        </is>
      </c>
      <c r="F242" s="26" t="inlineStr">
        <is>
          <t>OPS</t>
        </is>
      </c>
      <c r="G242" s="23">
        <f>'Work items'!I65</f>
        <v/>
      </c>
      <c r="H242" s="14">
        <f>'Work items'!G65*'Work items'!I65</f>
        <v/>
      </c>
      <c r="I242" s="14">
        <f>'Work items'!N65</f>
        <v/>
      </c>
      <c r="J242" s="27" t="inlineStr">
        <is>
          <t>Advanced authorization integration, without redefining a guardrail decision as a business-authorization decision</t>
        </is>
      </c>
    </row>
    <row r="243">
      <c r="A243" s="25" t="inlineStr">
        <is>
          <t>WI-060</t>
        </is>
      </c>
      <c r="B243" s="26" t="inlineStr">
        <is>
          <t>M5</t>
        </is>
      </c>
      <c r="C243" s="26" t="inlineStr">
        <is>
          <t>Phase 5</t>
        </is>
      </c>
      <c r="D243" s="27" t="inlineStr">
        <is>
          <t>Integration</t>
        </is>
      </c>
      <c r="E243" s="26" t="inlineStr">
        <is>
          <t>L</t>
        </is>
      </c>
      <c r="F243" s="26" t="inlineStr">
        <is>
          <t>SEC</t>
        </is>
      </c>
      <c r="G243" s="23">
        <f>'Work items'!J65</f>
        <v/>
      </c>
      <c r="H243" s="14">
        <f>'Work items'!G65*'Work items'!J65</f>
        <v/>
      </c>
      <c r="I243" s="14">
        <f>'Work items'!O65</f>
        <v/>
      </c>
      <c r="J243" s="27" t="inlineStr">
        <is>
          <t>Advanced authorization integration, without redefining a guardrail decision as a business-authorization decision</t>
        </is>
      </c>
    </row>
    <row r="244">
      <c r="A244" s="25" t="inlineStr">
        <is>
          <t>WI-060</t>
        </is>
      </c>
      <c r="B244" s="26" t="inlineStr">
        <is>
          <t>M5</t>
        </is>
      </c>
      <c r="C244" s="26" t="inlineStr">
        <is>
          <t>Phase 5</t>
        </is>
      </c>
      <c r="D244" s="27" t="inlineStr">
        <is>
          <t>Integration</t>
        </is>
      </c>
      <c r="E244" s="26" t="inlineStr">
        <is>
          <t>L</t>
        </is>
      </c>
      <c r="F244" s="26" t="inlineStr">
        <is>
          <t>CONS</t>
        </is>
      </c>
      <c r="G244" s="23">
        <f>'Work items'!K65</f>
        <v/>
      </c>
      <c r="H244" s="14">
        <f>'Work items'!G65*'Work items'!K65</f>
        <v/>
      </c>
      <c r="I244" s="14">
        <f>'Work items'!P65</f>
        <v/>
      </c>
      <c r="J244" s="27" t="inlineStr">
        <is>
          <t>Advanced authorization integration, without redefining a guardrail decision as a business-authorization decision</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11" customWidth="1" min="3" max="3"/>
    <col width="34" customWidth="1" min="4" max="4"/>
    <col width="52" customWidth="1" min="5" max="5"/>
    <col width="52" customWidth="1" min="6" max="6"/>
  </cols>
  <sheetData>
    <row r="1">
      <c r="A1" s="1" t="inlineStr">
        <is>
          <t>Roadmap</t>
        </is>
      </c>
    </row>
    <row r="2" ht="18" customHeight="1">
      <c r="A2" s="2" t="inlineStr">
        <is>
          <t>Dependency sequencing, not scheduling. No calendar dates or durations exist in the source material and none are invented here.</t>
        </is>
      </c>
    </row>
    <row r="4" ht="30" customHeight="1">
      <c r="A4" s="10" t="inlineStr">
        <is>
          <t>Milestone</t>
        </is>
      </c>
      <c r="B4" s="10" t="inlineStr">
        <is>
          <t>Name</t>
        </is>
      </c>
      <c r="C4" s="10" t="inlineStr">
        <is>
          <t>Phase</t>
        </is>
      </c>
      <c r="D4" s="10" t="inlineStr">
        <is>
          <t>Primary deployment mode</t>
        </is>
      </c>
      <c r="E4" s="10" t="inlineStr">
        <is>
          <t>Objective</t>
        </is>
      </c>
      <c r="F4" s="10" t="inlineStr">
        <is>
          <t>Entry condition</t>
        </is>
      </c>
    </row>
    <row r="5">
      <c r="A5" s="16" t="inlineStr">
        <is>
          <t>M1</t>
        </is>
      </c>
      <c r="B5" s="16" t="inlineStr">
        <is>
          <t>Integration proof</t>
        </is>
      </c>
      <c r="C5" s="16" t="inlineStr">
        <is>
          <t>Phase 1</t>
        </is>
      </c>
      <c r="D5" s="16" t="inlineStr">
        <is>
          <t>Mode A — Remote Evaluation only</t>
        </is>
      </c>
      <c r="E5" s="16" t="inlineStr">
        <is>
          <t>Prove that guardrail policy and evaluation can be separated from LiteLLM and reused across multiple gateways.</t>
        </is>
      </c>
      <c r="F5" s="16" t="inlineStr">
        <is>
          <t>None — this is the delivery entry point.</t>
        </is>
      </c>
    </row>
    <row r="6">
      <c r="A6" s="27" t="inlineStr">
        <is>
          <t>M2</t>
        </is>
      </c>
      <c r="B6" s="27" t="inlineStr">
        <is>
          <t>Internal multi-team platform</t>
        </is>
      </c>
      <c r="C6" s="27" t="inlineStr">
        <is>
          <t>Phase 2</t>
        </is>
      </c>
      <c r="D6" s="27" t="inlineStr">
        <is>
          <t>Mode A — Remote Evaluation</t>
        </is>
      </c>
      <c r="E6" s="27" t="inlineStr">
        <is>
          <t>Allow multiple internal teams to onboard and operate distinct workloads.</t>
        </is>
      </c>
      <c r="F6" s="27" t="inlineStr">
        <is>
          <t>M1 complete: contract, policy format, Bedrock adapter, LiteLLM connector, observe mode, basic auditing and internal deployment all verified.</t>
        </is>
      </c>
    </row>
    <row r="7">
      <c r="A7" s="16" t="inlineStr">
        <is>
          <t>M3</t>
        </is>
      </c>
      <c r="B7" s="16" t="inlineStr">
        <is>
          <t>Guarded gateway</t>
        </is>
      </c>
      <c r="C7" s="16" t="inlineStr">
        <is>
          <t>Phase 3</t>
        </is>
      </c>
      <c r="D7" s="16" t="inlineStr">
        <is>
          <t>Mode B — Guarded Gateway</t>
        </is>
      </c>
      <c r="E7" s="16" t="inlineStr">
        <is>
          <t>Offer a fully hosted model and guardrail path for teams without their own gateway.</t>
        </is>
      </c>
      <c r="F7" s="16" t="inlineStr">
        <is>
          <t>M2 complete — the full Phase 1–2 validation demonstration passed. Phase 3 lies beyond that gate and must not be resourced ahead of it.</t>
        </is>
      </c>
    </row>
    <row r="8">
      <c r="A8" s="27" t="inlineStr">
        <is>
          <t>M4</t>
        </is>
      </c>
      <c r="B8" s="27" t="inlineStr">
        <is>
          <t>Customer-managed runtime</t>
        </is>
      </c>
      <c r="C8" s="27" t="inlineStr">
        <is>
          <t>Phase 4</t>
        </is>
      </c>
      <c r="D8" s="27" t="inlineStr">
        <is>
          <t>Mode C — Customer-Managed Runtime</t>
        </is>
      </c>
      <c r="E8" s="27" t="inlineStr">
        <is>
          <t>Support workloads that require local evaluation and content isolation.</t>
        </is>
      </c>
      <c r="F8" s="27" t="inlineStr">
        <is>
          <t>M2 complete, including the packaging validation. Does not require M3, though delivery sequencing treats Phase 4 as following Phase 3.</t>
        </is>
      </c>
    </row>
    <row r="9">
      <c r="A9" s="16" t="inlineStr">
        <is>
          <t>M5</t>
        </is>
      </c>
      <c r="B9" s="16" t="inlineStr">
        <is>
          <t>Advanced agent protection</t>
        </is>
      </c>
      <c r="C9" s="16" t="inlineStr">
        <is>
          <t>Phase 5</t>
        </is>
      </c>
      <c r="D9" s="16" t="inlineStr">
        <is>
          <t>All modes — new evaluation stages, not a new deployment mode</t>
        </is>
      </c>
      <c r="E9" s="16" t="inlineStr">
        <is>
          <t>Extend guardrail coverage beyond prompt and response evaluation.</t>
        </is>
      </c>
      <c r="F9" s="16" t="inlineStr">
        <is>
          <t>M4 complete and validated. A separate product expansion — must not be scheduled or resourced as part of M1–M4 delivery.</t>
        </is>
      </c>
    </row>
    <row r="11" ht="18" customHeight="1">
      <c r="A11" s="7" t="inlineStr">
        <is>
          <t>The full Phase 1–2 validation demonstration — all nine criteria together, against two genuinely independent deployments — passes at M2, not M1. No subset satisfies the gate.</t>
        </is>
      </c>
    </row>
  </sheetData>
  <autoFilter ref="A4:F9"/>
  <mergeCells count="3">
    <mergeCell ref="A2:F2"/>
    <mergeCell ref="A11:F1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42" customWidth="1" min="1" max="1"/>
    <col width="12" customWidth="1" min="2" max="2"/>
    <col width="34" customWidth="1" min="3" max="3"/>
    <col width="30" customWidth="1" min="4" max="4"/>
    <col width="18" customWidth="1" min="5" max="5"/>
    <col width="60" customWidth="1" min="6" max="6"/>
  </cols>
  <sheetData>
    <row r="1">
      <c r="A1" s="1" t="inlineStr">
        <is>
          <t>Dependencies</t>
        </is>
      </c>
    </row>
    <row r="2" ht="18" customHeight="1">
      <c r="A2" s="2" t="inlineStr">
        <is>
          <t>What has to be true before the work can proceed, and who owns it. None is confirmed today.</t>
        </is>
      </c>
    </row>
    <row r="4" ht="30" customHeight="1">
      <c r="A4" s="10" t="inlineStr">
        <is>
          <t>Dependency</t>
        </is>
      </c>
      <c r="B4" s="10" t="inlineStr">
        <is>
          <t>Type</t>
        </is>
      </c>
      <c r="C4" s="10" t="inlineStr">
        <is>
          <t>Needed for</t>
        </is>
      </c>
      <c r="D4" s="10" t="inlineStr">
        <is>
          <t>Owner</t>
        </is>
      </c>
      <c r="E4" s="10" t="inlineStr">
        <is>
          <t>Status</t>
        </is>
      </c>
      <c r="F4" s="10" t="inlineStr">
        <is>
          <t>Why it gates</t>
        </is>
      </c>
    </row>
    <row r="5">
      <c r="A5" s="16" t="inlineStr">
        <is>
          <t>AWS account provisioning — non-production and production</t>
        </is>
      </c>
      <c r="B5" s="16" t="inlineStr">
        <is>
          <t>Internal</t>
        </is>
      </c>
      <c r="C5" s="16" t="inlineStr">
        <is>
          <t>Phase 1 kickoff — all infrastructure work</t>
        </is>
      </c>
      <c r="D5" s="16" t="inlineStr">
        <is>
          <t>Platform operations lead</t>
        </is>
      </c>
      <c r="E5" s="16" t="inlineStr">
        <is>
          <t>Unconfirmed</t>
        </is>
      </c>
      <c r="F5" s="16" t="inlineStr">
        <is>
          <t>Every other technical dependency is provisioned into one of these two accounts. It is the first link in the delivery chain, not one dependency among many.</t>
        </is>
      </c>
    </row>
    <row r="6">
      <c r="A6" s="27" t="inlineStr">
        <is>
          <t>Amazon Bedrock Guardrails access in target Regions</t>
        </is>
      </c>
      <c r="B6" s="27" t="inlineStr">
        <is>
          <t>External</t>
        </is>
      </c>
      <c r="C6" s="27" t="inlineStr">
        <is>
          <t>Phase 1 — Bedrock Guardrails adapter</t>
        </is>
      </c>
      <c r="D6" s="27" t="inlineStr">
        <is>
          <t>Architecture lead</t>
        </is>
      </c>
      <c r="E6" s="27" t="inlineStr">
        <is>
          <t>Unconfirmed</t>
        </is>
      </c>
      <c r="F6" s="27" t="inlineStr">
        <is>
          <t>The first managed evaluation engine cannot be integrated or exercised without access in the Regions the runtime will serve.</t>
        </is>
      </c>
    </row>
    <row r="7">
      <c r="A7" s="16" t="inlineStr">
        <is>
          <t>Stable evaluation contract before connector work</t>
        </is>
      </c>
      <c r="B7" s="16" t="inlineStr">
        <is>
          <t>Technical</t>
        </is>
      </c>
      <c r="C7" s="16" t="inlineStr">
        <is>
          <t>Phase 1 — LiteLLM connector</t>
        </is>
      </c>
      <c r="D7" s="16" t="inlineStr">
        <is>
          <t>Technical lead</t>
        </is>
      </c>
      <c r="E7" s="16" t="inlineStr">
        <is>
          <t>Not started</t>
        </is>
      </c>
      <c r="F7" s="16" t="inlineStr">
        <is>
          <t>Building the connector against a moving contract forces a matching connector revision on every change — and makes decision consistency across two independent instances unverifiable. Freeze and version the contract before connector work starts, not after.</t>
        </is>
      </c>
    </row>
    <row r="8">
      <c r="A8" s="27" t="inlineStr">
        <is>
          <t>Consuming-team gateway availability and willingness to install the connector</t>
        </is>
      </c>
      <c r="B8" s="27" t="inlineStr">
        <is>
          <t>External</t>
        </is>
      </c>
      <c r="C8" s="27" t="inlineStr">
        <is>
          <t>Phase 1–2 — validation demonstration</t>
        </is>
      </c>
      <c r="D8" s="27" t="inlineStr">
        <is>
          <t>Integration lead / Delivery lead</t>
        </is>
      </c>
      <c r="E8" s="27" t="inlineStr">
        <is>
          <t>Unconfirmed</t>
        </is>
      </c>
      <c r="F8" s="27" t="inlineStr">
        <is>
          <t>The demonstration needs two organizationally independent instances. Both their existence and that team's cooperation are outside the delivery team's control.</t>
        </is>
      </c>
    </row>
    <row r="9">
      <c r="A9" s="16" t="inlineStr">
        <is>
          <t>Security review sign-off</t>
        </is>
      </c>
      <c r="B9" s="16" t="inlineStr">
        <is>
          <t>Internal</t>
        </is>
      </c>
      <c r="C9" s="16" t="inlineStr">
        <is>
          <t>Any workload's observe-to-enforce promotion; any external onboarding</t>
        </is>
      </c>
      <c r="D9" s="16" t="inlineStr">
        <is>
          <t>Security and governance lead</t>
        </is>
      </c>
      <c r="E9" s="16" t="inlineStr">
        <is>
          <t>Not yet exercised</t>
        </is>
      </c>
      <c r="F9" s="16" t="inlineStr">
        <is>
          <t>No workload leaves observe without it, and the criteria that would satisfy it are themselves undefined today.</t>
        </is>
      </c>
    </row>
    <row r="10">
      <c r="A10" s="27" t="inlineStr">
        <is>
          <t>KMS and Secrets Manager setup</t>
        </is>
      </c>
      <c r="B10" s="27" t="inlineStr">
        <is>
          <t>Technical</t>
        </is>
      </c>
      <c r="C10" s="27" t="inlineStr">
        <is>
          <t>Phase 1 — encryption at rest and in transit, runtime credential storage</t>
        </is>
      </c>
      <c r="D10" s="27" t="inlineStr">
        <is>
          <t>Platform operations lead / Technical lead</t>
        </is>
      </c>
      <c r="E10" s="27" t="inlineStr">
        <is>
          <t>Not started</t>
        </is>
      </c>
      <c r="F10" s="27" t="inlineStr">
        <is>
          <t>The runtime, policy storage and audit pipeline cannot be deployed with encryption and credential handling in place without them. Part of Phase 1 environment setup, not a later hardening pass.</t>
        </is>
      </c>
    </row>
    <row r="11">
      <c r="A11" s="16" t="inlineStr">
        <is>
          <t>CI with dependency and container scanning</t>
        </is>
      </c>
      <c r="B11" s="16" t="inlineStr">
        <is>
          <t>Technical</t>
        </is>
      </c>
      <c r="C11" s="16" t="inlineStr">
        <is>
          <t>Every build from Phase 1 onward — release-blocking</t>
        </is>
      </c>
      <c r="D11" s="16" t="inlineStr">
        <is>
          <t>Technical lead</t>
        </is>
      </c>
      <c r="E11" s="16" t="inlineStr">
        <is>
          <t>Not started</t>
        </is>
      </c>
      <c r="F11" s="16" t="inlineStr">
        <is>
          <t>Required on every build and re-verified for each new deployment artifact, including the container, chart and template Phase 4 introduces. This one never resolves — it must stay continuously satisfied.</t>
        </is>
      </c>
    </row>
    <row r="13" ht="32" customHeight="1">
      <c r="A13" s="7" t="inlineStr">
        <is>
          <t>Two sit outside the delivery team entirely: managed engine access in the target Regions, and a second team's willingness to run an independent instance. Neither waits on effort, so no AI-assistance factor touches them.</t>
        </is>
      </c>
    </row>
  </sheetData>
  <autoFilter ref="A4:F11"/>
  <mergeCells count="3">
    <mergeCell ref="A13:F13"/>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13" customWidth="1" min="1" max="1"/>
    <col width="34" customWidth="1" min="2" max="2"/>
    <col width="66" customWidth="1" min="3" max="3"/>
    <col width="40" customWidth="1" min="4" max="4"/>
    <col width="11" customWidth="1" min="5" max="5"/>
  </cols>
  <sheetData>
    <row r="1">
      <c r="A1" s="1" t="inlineStr">
        <is>
          <t>Release gates</t>
        </is>
      </c>
    </row>
    <row r="2" ht="18" customHeight="1">
      <c r="A2" s="2" t="inlineStr">
        <is>
          <t>Pass or fail statements with a named owner. The nine validation gates must pass together — a subset does not satisfy the demonstration.</t>
        </is>
      </c>
    </row>
    <row r="4" ht="30" customHeight="1">
      <c r="A4" s="10" t="inlineStr">
        <is>
          <t>ID</t>
        </is>
      </c>
      <c r="B4" s="10" t="inlineStr">
        <is>
          <t>Gate</t>
        </is>
      </c>
      <c r="C4" s="10" t="inlineStr">
        <is>
          <t>What passing means</t>
        </is>
      </c>
      <c r="D4" s="10" t="inlineStr">
        <is>
          <t>Accountable owner</t>
        </is>
      </c>
      <c r="E4" s="10" t="inlineStr">
        <is>
          <t>Milestone</t>
        </is>
      </c>
    </row>
    <row r="5">
      <c r="A5" s="16" t="inlineStr">
        <is>
          <t>RG-MVP-01</t>
        </is>
      </c>
      <c r="B5" s="16" t="inlineStr">
        <is>
          <t>Two instances, one policy</t>
        </is>
      </c>
      <c r="C5" s="16" t="inlineStr">
        <is>
          <t>Two independently deployed instances, each with its own connector installation, bound to the identical policy name and version and verified to resolve the same policy content.</t>
        </is>
      </c>
      <c r="D5" s="16" t="inlineStr">
        <is>
          <t>Delivery lead</t>
        </is>
      </c>
      <c r="E5" s="16" t="inlineStr">
        <is>
          <t>M1</t>
        </is>
      </c>
    </row>
    <row r="6">
      <c r="A6" s="27" t="inlineStr">
        <is>
          <t>RG-MVP-02</t>
        </is>
      </c>
      <c r="B6" s="27" t="inlineStr">
        <is>
          <t>No shared provider credentials</t>
        </is>
      </c>
      <c r="C6" s="27" t="inlineStr">
        <is>
          <t>Neither instance's model-provider credentials are held, stored or transmitted to the guardrail platform; verified against the platform's own stored secrets.</t>
        </is>
      </c>
      <c r="D6" s="27" t="inlineStr">
        <is>
          <t>Security and governance lead</t>
        </is>
      </c>
      <c r="E6" s="27" t="inlineStr">
        <is>
          <t>M1</t>
        </is>
      </c>
    </row>
    <row r="7">
      <c r="A7" s="16" t="inlineStr">
        <is>
          <t>RG-MVP-03</t>
        </is>
      </c>
      <c r="B7" s="16" t="inlineStr">
        <is>
          <t>Consistent normalized decisions</t>
        </is>
      </c>
      <c r="C7" s="16" t="inlineStr">
        <is>
          <t>Equivalent content submitted through both instances returns the identical normalized decision schema: action, allowed status, reason codes, policy name and version, evaluator metadata, correlation identifier.</t>
        </is>
      </c>
      <c r="D7" s="16" t="inlineStr">
        <is>
          <t>Delivery lead</t>
        </is>
      </c>
      <c r="E7" s="16" t="inlineStr">
        <is>
          <t>M1</t>
        </is>
      </c>
    </row>
    <row r="8">
      <c r="A8" s="27" t="inlineStr">
        <is>
          <t>RG-MVP-04</t>
        </is>
      </c>
      <c r="B8" s="27" t="inlineStr">
        <is>
          <t>Observe-mode workload</t>
        </is>
      </c>
      <c r="C8" s="27" t="inlineStr">
        <is>
          <t>One workload's binding is set to observe; evaluations execute and produce decisions with no enforcement applied on the request path.</t>
        </is>
      </c>
      <c r="D8" s="27" t="inlineStr">
        <is>
          <t>Delivery lead</t>
        </is>
      </c>
      <c r="E8" s="27" t="inlineStr">
        <is>
          <t>M1</t>
        </is>
      </c>
    </row>
    <row r="9">
      <c r="A9" s="16" t="inlineStr">
        <is>
          <t>RG-MVP-05</t>
        </is>
      </c>
      <c r="B9" s="16" t="inlineStr">
        <is>
          <t>Enforce-mode workload</t>
        </is>
      </c>
      <c r="C9" s="16" t="inlineStr">
        <is>
          <t>The other workload's binding is set to enforce or stricter; a violation triggers the corresponding action on the request path.</t>
        </is>
      </c>
      <c r="D9" s="16" t="inlineStr">
        <is>
          <t>Delivery lead</t>
        </is>
      </c>
      <c r="E9" s="16" t="inlineStr">
        <is>
          <t>M1</t>
        </is>
      </c>
    </row>
    <row r="10">
      <c r="A10" s="27" t="inlineStr">
        <is>
          <t>RG-MVP-06</t>
        </is>
      </c>
      <c r="B10" s="27" t="inlineStr">
        <is>
          <t>Policy upgrade and rollback</t>
        </is>
      </c>
      <c r="C10" s="27" t="inlineStr">
        <is>
          <t>A new immutable version is published and bound, producing a documented behavior change; the binding is then reverted with prior behavior restored, both transitions captured in audit metadata.</t>
        </is>
      </c>
      <c r="D10" s="27" t="inlineStr">
        <is>
          <t>Delivery lead</t>
        </is>
      </c>
      <c r="E10" s="27" t="inlineStr">
        <is>
          <t>M2</t>
        </is>
      </c>
    </row>
    <row r="11">
      <c r="A11" s="16" t="inlineStr">
        <is>
          <t>RG-MVP-07</t>
        </is>
      </c>
      <c r="B11" s="16" t="inlineStr">
        <is>
          <t>Raw-content persistence disablement</t>
        </is>
      </c>
      <c r="C11" s="16" t="inlineStr">
        <is>
          <t>With retention configured off, no raw content is found in any runtime store, cache or log after evaluation; decision metadata is still persisted.</t>
        </is>
      </c>
      <c r="D11" s="16" t="inlineStr">
        <is>
          <t>Security and governance lead</t>
        </is>
      </c>
      <c r="E11" s="16" t="inlineStr">
        <is>
          <t>M1</t>
        </is>
      </c>
    </row>
    <row r="12">
      <c r="A12" s="27" t="inlineStr">
        <is>
          <t>RG-MVP-08</t>
        </is>
      </c>
      <c r="B12" s="27" t="inlineStr">
        <is>
          <t>Configured failure policy honored</t>
        </is>
      </c>
      <c r="C12" s="27" t="inlineStr">
        <is>
          <t>With a detector or the Evaluation API forced into a defined failure condition, the configured behavior executes exactly as configured and the path taken is captured in audit.</t>
        </is>
      </c>
      <c r="D12" s="27" t="inlineStr">
        <is>
          <t>Delivery lead</t>
        </is>
      </c>
      <c r="E12" s="27" t="inlineStr">
        <is>
          <t>M1</t>
        </is>
      </c>
    </row>
    <row r="13">
      <c r="A13" s="16" t="inlineStr">
        <is>
          <t>RG-MVP-09</t>
        </is>
      </c>
      <c r="B13" s="16" t="inlineStr">
        <is>
          <t>Repackageable for customer-managed deployment</t>
        </is>
      </c>
      <c r="C13" s="16" t="inlineStr">
        <is>
          <t>The runtime packages as a deployable artifact suitable for a customer-managed environment while the connector's invocation contract stays unchanged.</t>
        </is>
      </c>
      <c r="D13" s="16" t="inlineStr">
        <is>
          <t>Delivery lead</t>
        </is>
      </c>
      <c r="E13" s="16" t="inlineStr">
        <is>
          <t>M1</t>
        </is>
      </c>
    </row>
    <row r="14">
      <c r="A14" s="27" t="inlineStr">
        <is>
          <t>RG-NFR-01</t>
        </is>
      </c>
      <c r="B14" s="27" t="inlineStr">
        <is>
          <t>Availability objective defined and monitored</t>
        </is>
      </c>
      <c r="C14" s="27" t="inlineStr">
        <is>
          <t>A documented availability objective for the hosted Evaluation API exists and has been published to pilot workload owners. The figure itself is TBD — this gate requires the objective to exist, not a number to be met.</t>
        </is>
      </c>
      <c r="D14" s="27" t="inlineStr">
        <is>
          <t>Platform operations lead</t>
        </is>
      </c>
      <c r="E14" s="27" t="inlineStr">
        <is>
          <t>M2</t>
        </is>
      </c>
    </row>
    <row r="15">
      <c r="A15" s="16" t="inlineStr">
        <is>
          <t>RG-NFR-02</t>
        </is>
      </c>
      <c r="B15" s="16" t="inlineStr">
        <is>
          <t>Evaluation latency measured and accepted</t>
        </is>
      </c>
      <c r="C15" s="16" t="inlineStr">
        <is>
          <t>End-to-end evaluation latency is measured continuously per stage and per deployment mode, and accepted by the pilot workload owners.</t>
        </is>
      </c>
      <c r="D15" s="16" t="inlineStr">
        <is>
          <t>Platform operations lead</t>
        </is>
      </c>
      <c r="E15" s="16" t="inlineStr">
        <is>
          <t>M2</t>
        </is>
      </c>
    </row>
    <row r="16">
      <c r="A16" s="27" t="inlineStr">
        <is>
          <t>RG-NFR-03</t>
        </is>
      </c>
      <c r="B16" s="27" t="inlineStr">
        <is>
          <t>Audit delivery measured, failure behavior defined</t>
        </is>
      </c>
      <c r="C16" s="27" t="inlineStr">
        <is>
          <t>The proportion of evaluations producing a delivered audit record is measured, and the behavior on delivery failure is defined in policy.</t>
        </is>
      </c>
      <c r="D16" s="27" t="inlineStr">
        <is>
          <t>Security and governance lead (with Platform operations lead)</t>
        </is>
      </c>
      <c r="E16" s="27" t="inlineStr">
        <is>
          <t>M2</t>
        </is>
      </c>
    </row>
    <row r="17">
      <c r="A17" s="16" t="inlineStr">
        <is>
          <t>RG-SEC-01</t>
        </is>
      </c>
      <c r="B17" s="16" t="inlineStr">
        <is>
          <t>TLS coverage</t>
        </is>
      </c>
      <c r="C17" s="16" t="inlineStr">
        <is>
          <t>Every runtime communication path is TLS-protected — application to connector, connector to Evaluation API, runtime to evaluation engines, runtime to control plane.</t>
        </is>
      </c>
      <c r="D17" s="16" t="inlineStr">
        <is>
          <t>Security and governance lead</t>
        </is>
      </c>
      <c r="E17" s="16" t="inlineStr">
        <is>
          <t>M1</t>
        </is>
      </c>
    </row>
    <row r="18">
      <c r="A18" s="27" t="inlineStr">
        <is>
          <t>RG-SEC-02</t>
        </is>
      </c>
      <c r="B18" s="27" t="inlineStr">
        <is>
          <t>Identity-based, least-privilege, short-lived authentication</t>
        </is>
      </c>
      <c r="C18" s="27" t="inlineStr">
        <is>
          <t>Every platform consumer authenticates with least-privilege, short-lived credentials rather than long-lived static secrets.</t>
        </is>
      </c>
      <c r="D18" s="27" t="inlineStr">
        <is>
          <t>Security and governance lead</t>
        </is>
      </c>
      <c r="E18" s="27" t="inlineStr">
        <is>
          <t>M2</t>
        </is>
      </c>
    </row>
    <row r="19">
      <c r="A19" s="16" t="inlineStr">
        <is>
          <t>RG-SEC-03</t>
        </is>
      </c>
      <c r="B19" s="16" t="inlineStr">
        <is>
          <t>No secrets in telemetry</t>
        </is>
      </c>
      <c r="C19" s="16" t="inlineStr">
        <is>
          <t>No telemetry payload emitted by the runtime carries secret material — operational metrics, connector-health signals, and customer-selected telemetry alike.</t>
        </is>
      </c>
      <c r="D19" s="16" t="inlineStr">
        <is>
          <t>Security and governance lead</t>
        </is>
      </c>
      <c r="E19" s="16" t="inlineStr">
        <is>
          <t>M1</t>
        </is>
      </c>
    </row>
    <row r="20">
      <c r="A20" s="27" t="inlineStr">
        <is>
          <t>RG-SEC-04</t>
        </is>
      </c>
      <c r="B20" s="27" t="inlineStr">
        <is>
          <t>Container and dependency scan clean</t>
        </is>
      </c>
      <c r="C20" s="27" t="inlineStr">
        <is>
          <t>Every runtime image and declared dependency in the release is scanned for known vulnerabilities before release.</t>
        </is>
      </c>
      <c r="D20" s="27" t="inlineStr">
        <is>
          <t>Security and governance lead</t>
        </is>
      </c>
      <c r="E20" s="27" t="inlineStr">
        <is>
          <t>M1</t>
        </is>
      </c>
    </row>
    <row r="22" ht="18" customHeight="1">
      <c r="A22" s="7" t="inlineStr">
        <is>
          <t>Verification method, environment and sign-off owner per criterion are only partly assigned upstream — a gap owed before the first phase exits.</t>
        </is>
      </c>
    </row>
  </sheetData>
  <autoFilter ref="A4:E20"/>
  <mergeCells count="3">
    <mergeCell ref="A2:E2"/>
    <mergeCell ref="A22:E22"/>
    <mergeCell ref="A1:E1"/>
  </mergeCells>
  <pageMargins left="0.75" right="0.75" top="1" bottom="1" header="0.5" footer="0.5"/>
</worksheet>
</file>

<file path=docProps/app.xml><?xml version="1.0" encoding="utf-8"?>
<Properties xmlns="http://schemas.openxmlformats.org/officeDocument/2006/extended-properties">
  <Application>AI Guardrails workbook generator</Application>
  <Company/>
  <Manager/>
  <ScaleCrop>false</ScaleCrop>
  <LinksUpToDate>false</LinksUpToDate>
  <SharedDoc>false</SharedDoc>
  <HyperlinksChanged>false</HyperlinksChanged>
</Properties>
</file>

<file path=docProps/core.xml><?xml version="1.0" encoding="utf-8"?>
<cp:coreProperties xmlns:cp="http://schemas.openxmlformats.org/package/2006/metadata/core-properties">
  <dc:creator xmlns:dc="http://purl.org/dc/elements/1.1/">AI Guardrails — generated from solution-docs</dc:creator>
  <dc:title xmlns:dc="http://purl.org/dc/elements/1.1/">AI Guardrails — delivery model</dc:title>
  <dc:description xmlns:dc="http://purl.org/dc/elements/1.1/">Generated from the solution-docs set. Rebuild rather than edit — hand edits are overwritten.</dc:description>
  <dc:subject xmlns:dc="http://purl.org/dc/elements/1.1/">Effort per role across the five milestones, with the estimation assumptions held in one editable sheet</dc:subject>
  <dc:language xmlns:dc="http://purl.org/dc/elements/1.1/">en</dc:language>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lastModifiedBy>AI Guardrails — generated from solution-docs</cp:lastModifiedBy>
  <cp:category>Internal</cp:category>
  <cp:contentStatus>Draft — design intent and delivery plan; nothing built or piloted</cp:contentStatus>
</cp:coreProperties>
</file>